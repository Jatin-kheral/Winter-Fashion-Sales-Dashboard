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69617547-FA07-43FE-95FE-1A12A2C0FEE4}" xr6:coauthVersionLast="47" xr6:coauthVersionMax="47" xr10:uidLastSave="{00000000-0000-0000-0000-000000000000}"/>
  <bookViews>
    <workbookView xWindow="-108" yWindow="-108" windowWidth="23256" windowHeight="12456" xr2:uid="{58595BA1-12A1-4279-9342-FDAFDBFF0A85}"/>
  </bookViews>
  <sheets>
    <sheet name="Dashboard" sheetId="3" r:id="rId1"/>
    <sheet name="Sales &amp; Avg Rating" sheetId="2" r:id="rId2"/>
    <sheet name="Sales per gender" sheetId="4" r:id="rId3"/>
    <sheet name="Popular color" sheetId="5" r:id="rId4"/>
    <sheet name="Sales Volume &amp; Avg " sheetId="6" r:id="rId5"/>
    <sheet name="Relation btw price &amp; popular " sheetId="7" r:id="rId6"/>
    <sheet name="Preference Style" sheetId="8" r:id="rId7"/>
    <sheet name="Winter_Fashion_Trends_Dataset" sheetId="1" r:id="rId8"/>
  </sheets>
  <definedNames>
    <definedName name="Slicer_Trend_Status">#N/A</definedName>
  </definedNames>
  <calcPr calcId="0"/>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<sst xmlns="http://schemas.openxmlformats.org/spreadsheetml/2006/main" count="1268" uniqueCount="76">
  <si>
    <t>ID</t>
  </si>
  <si>
    <t>Brand</t>
  </si>
  <si>
    <t>Category</t>
  </si>
  <si>
    <t>Color</t>
  </si>
  <si>
    <t>Material</t>
  </si>
  <si>
    <t>Style</t>
  </si>
  <si>
    <t>Gender</t>
  </si>
  <si>
    <t>Season</t>
  </si>
  <si>
    <t>Price(USD)</t>
  </si>
  <si>
    <t>Popularity_Score</t>
  </si>
  <si>
    <t>Customer_Rating</t>
  </si>
  <si>
    <t>Trend_Status</t>
  </si>
  <si>
    <t>Adidas</t>
  </si>
  <si>
    <t>Gloves</t>
  </si>
  <si>
    <t>Brown</t>
  </si>
  <si>
    <t>Polyester</t>
  </si>
  <si>
    <t>Streetwear</t>
  </si>
  <si>
    <t>Women</t>
  </si>
  <si>
    <t>Winter 2025</t>
  </si>
  <si>
    <t>Trending</t>
  </si>
  <si>
    <t>Gucci</t>
  </si>
  <si>
    <t>Red</t>
  </si>
  <si>
    <t>Leather</t>
  </si>
  <si>
    <t>Sporty</t>
  </si>
  <si>
    <t>Men</t>
  </si>
  <si>
    <t>Winter 2023</t>
  </si>
  <si>
    <t>H&amp;M</t>
  </si>
  <si>
    <t>Coat</t>
  </si>
  <si>
    <t>Fleece</t>
  </si>
  <si>
    <t>Unisex</t>
  </si>
  <si>
    <t>North Face</t>
  </si>
  <si>
    <t>Blue</t>
  </si>
  <si>
    <t>Cashmere</t>
  </si>
  <si>
    <t>Formal</t>
  </si>
  <si>
    <t>Winter 2024</t>
  </si>
  <si>
    <t>Outdated</t>
  </si>
  <si>
    <t>Mango</t>
  </si>
  <si>
    <t>Thermal</t>
  </si>
  <si>
    <t>Uniqlo</t>
  </si>
  <si>
    <t>Black</t>
  </si>
  <si>
    <t>Gray</t>
  </si>
  <si>
    <t>Casual</t>
  </si>
  <si>
    <t>Sweater</t>
  </si>
  <si>
    <t>Cream</t>
  </si>
  <si>
    <t>Cotton</t>
  </si>
  <si>
    <t>Scarf</t>
  </si>
  <si>
    <t>Maroon</t>
  </si>
  <si>
    <t>Luxury</t>
  </si>
  <si>
    <t>Classic</t>
  </si>
  <si>
    <t>Beanie</t>
  </si>
  <si>
    <t>Green</t>
  </si>
  <si>
    <t>Emerging</t>
  </si>
  <si>
    <t>Zara</t>
  </si>
  <si>
    <t>Cardigan</t>
  </si>
  <si>
    <t>Beige</t>
  </si>
  <si>
    <t>Wool</t>
  </si>
  <si>
    <t>Jacket</t>
  </si>
  <si>
    <t>White</t>
  </si>
  <si>
    <t>Prada</t>
  </si>
  <si>
    <t>Hoodie</t>
  </si>
  <si>
    <t>Levi's</t>
  </si>
  <si>
    <t>Down</t>
  </si>
  <si>
    <t>Nike</t>
  </si>
  <si>
    <t>Boots</t>
  </si>
  <si>
    <t>Row Labels</t>
  </si>
  <si>
    <t>Grand Total</t>
  </si>
  <si>
    <t>Sum of Price(USD)</t>
  </si>
  <si>
    <t>Average of Price(USD)</t>
  </si>
  <si>
    <t>Winter Fashion Trend</t>
  </si>
  <si>
    <t>Sum of ID</t>
  </si>
  <si>
    <t>Average of Customer_Rating</t>
  </si>
  <si>
    <t>Average of Popularity_Score</t>
  </si>
  <si>
    <t>30.07-230.07</t>
  </si>
  <si>
    <t>230.07-430.07</t>
  </si>
  <si>
    <t>430.07-630.07</t>
  </si>
  <si>
    <t>630.07-830.07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</si>
</sst>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tint="-4.9989318521683403E-2"/>
      <name val="Arial Rounded MT Bold"/>
      <family val="2"/>
    </font>
    <font>
      <sz val="11"/>
      <color theme="0" tint="-4.9989318521683403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9" fillId="34" borderId="0" xfId="0" applyFont="1" applyFill="1"/>
    <xf numFmtId="0" fontId="18"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5">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[Winter_Fashion_Trends_Dataset.xlsx]Sales &amp; Avg Rating!PivotTable1</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rPr>
              <a:t>Brand Sales Overview (with Avg Rating Insight)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&amp; Avg Rating'!$B$3</c:f>
              <c:strCache>
                <c:ptCount val="1"/>
                <c:pt idx="0">
                  <c:v>Sum of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&amp; Avg Rating'!$A$4:$A$12</c:f>
              <c:strCache>
                <c:ptCount val="9"/>
                <c:pt idx="0">
                  <c:v>Mango</c:v>
                </c:pt>
                <c:pt idx="1">
                  <c:v>North Face</c:v>
                </c:pt>
                <c:pt idx="2">
                  <c:v>Levi's</c:v>
                </c:pt>
                <c:pt idx="3">
                  <c:v>Nike</c:v>
                </c:pt>
                <c:pt idx="4">
                  <c:v>Uniqlo</c:v>
                </c:pt>
                <c:pt idx="5">
                  <c:v>Prada</c:v>
                </c:pt>
                <c:pt idx="6">
                  <c:v>Adidas</c:v>
                </c:pt>
                <c:pt idx="7">
                  <c:v>Gucci</c:v>
                </c:pt>
                <c:pt idx="8">
                  <c:v>Zara</c:v>
                </c:pt>
              </c:strCache>
            </c:strRef>
          </c:cat>
          <c:val>
            <c:numRef>
              <c:f>'Sales &amp; Avg Rating'!$B$4:$B$12</c:f>
              <c:numCache>
                <c:formatCode>General</c:formatCode>
                <c:ptCount val="9"/>
                <c:pt idx="0">
                  <c:v>433</c:v>
                </c:pt>
                <c:pt idx="1">
                  <c:v>395</c:v>
                </c:pt>
                <c:pt idx="2">
                  <c:v>286</c:v>
                </c:pt>
                <c:pt idx="3">
                  <c:v>246</c:v>
                </c:pt>
                <c:pt idx="4">
                  <c:v>234</c:v>
                </c:pt>
                <c:pt idx="5">
                  <c:v>178</c:v>
                </c:pt>
                <c:pt idx="6">
                  <c:v>142</c:v>
                </c:pt>
                <c:pt idx="7">
                  <c:v>124</c:v>
                </c:pt>
                <c:pt idx="8">
                  <c:v>43</c:v>
                </c:pt>
              </c:numCache>
            </c:numRef>
          </c:val>
          <c:smooth val="0"/>
          <c:extLst>
            <c:ext xmlns:c16="http://schemas.microsoft.com/office/drawing/2014/chart" uri="{C3380CC4-5D6E-409C-BE32-E72D297353CC}">
              <c16:uniqueId val="{00000000-2B0C-4B77-872A-D45945552F0C}"/>
            </c:ext>
          </c:extLst>
        </c:ser>
        <c:dLbls>
          <c:showLegendKey val="0"/>
          <c:showVal val="0"/>
          <c:showCatName val="0"/>
          <c:showSerName val="0"/>
          <c:showPercent val="0"/>
          <c:showBubbleSize val="0"/>
        </c:dLbls>
        <c:marker val="1"/>
        <c:smooth val="0"/>
        <c:axId val="1563875551"/>
        <c:axId val="1563876031"/>
      </c:lineChart>
      <c:lineChart>
        <c:grouping val="standard"/>
        <c:varyColors val="0"/>
        <c:ser>
          <c:idx val="1"/>
          <c:order val="1"/>
          <c:tx>
            <c:strRef>
              <c:f>'Sales &amp; Avg Rating'!$C$3</c:f>
              <c:strCache>
                <c:ptCount val="1"/>
                <c:pt idx="0">
                  <c:v>Average of Customer_Rating</c:v>
                </c:pt>
              </c:strCache>
            </c:strRef>
          </c:tx>
          <c:spPr>
            <a:ln w="28575" cap="rnd">
              <a:no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Avg Rating'!$A$4:$A$12</c:f>
              <c:strCache>
                <c:ptCount val="9"/>
                <c:pt idx="0">
                  <c:v>Mango</c:v>
                </c:pt>
                <c:pt idx="1">
                  <c:v>North Face</c:v>
                </c:pt>
                <c:pt idx="2">
                  <c:v>Levi's</c:v>
                </c:pt>
                <c:pt idx="3">
                  <c:v>Nike</c:v>
                </c:pt>
                <c:pt idx="4">
                  <c:v>Uniqlo</c:v>
                </c:pt>
                <c:pt idx="5">
                  <c:v>Prada</c:v>
                </c:pt>
                <c:pt idx="6">
                  <c:v>Adidas</c:v>
                </c:pt>
                <c:pt idx="7">
                  <c:v>Gucci</c:v>
                </c:pt>
                <c:pt idx="8">
                  <c:v>Zara</c:v>
                </c:pt>
              </c:strCache>
            </c:strRef>
          </c:cat>
          <c:val>
            <c:numRef>
              <c:f>'Sales &amp; Avg Rating'!$C$4:$C$12</c:f>
              <c:numCache>
                <c:formatCode>0.00</c:formatCode>
                <c:ptCount val="9"/>
                <c:pt idx="0">
                  <c:v>3.7285714285714282</c:v>
                </c:pt>
                <c:pt idx="1">
                  <c:v>3.4599999999999995</c:v>
                </c:pt>
                <c:pt idx="2">
                  <c:v>3.1333333333333329</c:v>
                </c:pt>
                <c:pt idx="3">
                  <c:v>4.6500000000000004</c:v>
                </c:pt>
                <c:pt idx="4">
                  <c:v>4.0250000000000004</c:v>
                </c:pt>
                <c:pt idx="5">
                  <c:v>3.25</c:v>
                </c:pt>
                <c:pt idx="6">
                  <c:v>3.9</c:v>
                </c:pt>
                <c:pt idx="7">
                  <c:v>3.6333333333333333</c:v>
                </c:pt>
                <c:pt idx="8">
                  <c:v>3.8</c:v>
                </c:pt>
              </c:numCache>
            </c:numRef>
          </c:val>
          <c:smooth val="0"/>
          <c:extLst>
            <c:ext xmlns:c16="http://schemas.microsoft.com/office/drawing/2014/chart" uri="{C3380CC4-5D6E-409C-BE32-E72D297353CC}">
              <c16:uniqueId val="{00000001-2B0C-4B77-872A-D45945552F0C}"/>
            </c:ext>
          </c:extLst>
        </c:ser>
        <c:dLbls>
          <c:showLegendKey val="0"/>
          <c:showVal val="0"/>
          <c:showCatName val="0"/>
          <c:showSerName val="0"/>
          <c:showPercent val="0"/>
          <c:showBubbleSize val="0"/>
        </c:dLbls>
        <c:marker val="1"/>
        <c:smooth val="0"/>
        <c:axId val="1781809887"/>
        <c:axId val="1781811327"/>
      </c:lineChart>
      <c:catAx>
        <c:axId val="156387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876031"/>
        <c:crosses val="autoZero"/>
        <c:auto val="1"/>
        <c:lblAlgn val="ctr"/>
        <c:lblOffset val="100"/>
        <c:noMultiLvlLbl val="0"/>
      </c:catAx>
      <c:valAx>
        <c:axId val="156387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875551"/>
        <c:crosses val="autoZero"/>
        <c:crossBetween val="between"/>
      </c:valAx>
      <c:valAx>
        <c:axId val="178181132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1809887"/>
        <c:crosses val="max"/>
        <c:crossBetween val="between"/>
      </c:valAx>
      <c:catAx>
        <c:axId val="1781809887"/>
        <c:scaling>
          <c:orientation val="minMax"/>
        </c:scaling>
        <c:delete val="1"/>
        <c:axPos val="b"/>
        <c:numFmt formatCode="General" sourceLinked="1"/>
        <c:majorTickMark val="out"/>
        <c:minorTickMark val="none"/>
        <c:tickLblPos val="nextTo"/>
        <c:crossAx val="17818113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[Winter_Fashion_Trends_Dataset.xlsx]Sales per gender!PivotTable2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Sales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857010213556175"/>
              <c:y val="-6.6666666666666763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8964"/>
                    <a:gd name="adj2" fmla="val -72015"/>
                  </a:avLst>
                </a:prstGeom>
                <a:noFill/>
                <a:ln>
                  <a:noFill/>
                </a:ln>
              </c15:spPr>
            </c:ext>
          </c:extLst>
        </c:dLbl>
      </c:pivotFmt>
      <c:pivotFmt>
        <c:idx val="2"/>
        <c:spPr>
          <a:solidFill>
            <a:schemeClr val="accent3"/>
          </a:solidFill>
          <a:ln w="19050">
            <a:solidFill>
              <a:schemeClr val="lt1"/>
            </a:solidFill>
          </a:ln>
          <a:effectLst/>
        </c:spPr>
        <c:dLbl>
          <c:idx val="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8788"/>
                    <a:gd name="adj2" fmla="val 51212"/>
                  </a:avLst>
                </a:prstGeom>
                <a:noFill/>
                <a:ln>
                  <a:noFill/>
                </a:ln>
              </c15:spPr>
            </c:ext>
          </c:extLst>
        </c:dLbl>
      </c:pivotFmt>
      <c:pivotFmt>
        <c:idx val="6"/>
        <c:spPr>
          <a:solidFill>
            <a:schemeClr val="accent1"/>
          </a:solidFill>
          <a:ln w="19050">
            <a:solidFill>
              <a:schemeClr val="lt1"/>
            </a:solidFill>
          </a:ln>
          <a:effectLst/>
        </c:spPr>
        <c:dLbl>
          <c:idx val="0"/>
          <c:layout>
            <c:manualLayout>
              <c:x val="-0.1857010213556175"/>
              <c:y val="-6.6666666666666763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8964"/>
                    <a:gd name="adj2" fmla="val -72015"/>
                  </a:avLst>
                </a:prstGeom>
                <a:noFill/>
                <a:ln>
                  <a:noFill/>
                </a:ln>
              </c15:spPr>
            </c:ext>
          </c:extLst>
        </c:dLbl>
      </c:pivotFmt>
      <c:pivotFmt>
        <c:idx val="7"/>
        <c:spPr>
          <a:solidFill>
            <a:schemeClr val="accent1"/>
          </a:solidFill>
          <a:ln w="19050">
            <a:solidFill>
              <a:schemeClr val="lt1"/>
            </a:solidFill>
          </a:ln>
          <a:effectLst/>
        </c:spPr>
        <c:dLbl>
          <c:idx val="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2635"/>
                    <a:gd name="adj2" fmla="val 80893"/>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'Sales per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1B-4F6D-8003-C5BE8513EF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1B-4F6D-8003-C5BE8513EF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1B-4F6D-8003-C5BE8513EF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'Sales per gender'!$A$4:$A$6</c:f>
              <c:strCache>
                <c:ptCount val="3"/>
                <c:pt idx="0">
                  <c:v>Women</c:v>
                </c:pt>
                <c:pt idx="1">
                  <c:v>Unisex</c:v>
                </c:pt>
                <c:pt idx="2">
                  <c:v>Men</c:v>
                </c:pt>
              </c:strCache>
            </c:strRef>
          </c:cat>
          <c:val>
            <c:numRef>
              <c:f>'Sales per gender'!$B$4:$B$6</c:f>
              <c:numCache>
                <c:formatCode>General</c:formatCode>
                <c:ptCount val="3"/>
                <c:pt idx="0">
                  <c:v>4604.7299999999996</c:v>
                </c:pt>
                <c:pt idx="1">
                  <c:v>3324.2300000000005</c:v>
                </c:pt>
                <c:pt idx="2">
                  <c:v>2802.54</c:v>
                </c:pt>
              </c:numCache>
            </c:numRef>
          </c:val>
          <c:extLst>
            <c:ext xmlns:c16="http://schemas.microsoft.com/office/drawing/2014/chart" uri="{C3380CC4-5D6E-409C-BE32-E72D297353CC}">
              <c16:uniqueId val="{00000006-F21B-4F6D-8003-C5BE8513EF5C}"/>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[Winter_Fashion_Trends_Dataset.xlsx]Popular color!PivotTable3</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Prefered Color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'Popular color'!$B$3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'Popular color'!$A$4:$A$12</c:f>
              <c:strCache>
                <c:ptCount val="9"/>
                <c:pt idx="0">
                  <c:v>Brown</c:v>
                </c:pt>
                <c:pt idx="1">
                  <c:v>Maroon</c:v>
                </c:pt>
                <c:pt idx="2">
                  <c:v>Black</c:v>
                </c:pt>
                <c:pt idx="3">
                  <c:v>Gray</c:v>
                </c:pt>
                <c:pt idx="4">
                  <c:v>Blue</c:v>
                </c:pt>
                <c:pt idx="5">
                  <c:v>White</c:v>
                </c:pt>
                <c:pt idx="6">
                  <c:v>Red</c:v>
                </c:pt>
                <c:pt idx="7">
                  <c:v>Cream</c:v>
                </c:pt>
                <c:pt idx="8">
                  <c:v>Beige</c:v>
                </c:pt>
              </c:strCache>
            </c:strRef>
          </c:cat>
          <c:val>
            <c:numRef>
              <c:f>'Popular color'!$B$4:$B$12</c:f>
              <c:numCache>
                <c:formatCode>0</c:formatCode>
                <c:ptCount val="9"/>
                <c:pt idx="0">
                  <c:v>589</c:v>
                </c:pt>
                <c:pt idx="1">
                  <c:v>415</c:v>
                </c:pt>
                <c:pt idx="2">
                  <c:v>304</c:v>
                </c:pt>
                <c:pt idx="3">
                  <c:v>225</c:v>
                </c:pt>
                <c:pt idx="4">
                  <c:v>183</c:v>
                </c:pt>
                <c:pt idx="5">
                  <c:v>160</c:v>
                </c:pt>
                <c:pt idx="6">
                  <c:v>154</c:v>
                </c:pt>
                <c:pt idx="7">
                  <c:v>37</c:v>
                </c:pt>
                <c:pt idx="8">
                  <c:v>14</c:v>
                </c:pt>
              </c:numCache>
            </c:numRef>
          </c:val>
          <c:extLst>
            <c:ext xmlns:c16="http://schemas.microsoft.com/office/drawing/2014/chart" uri="{C3380CC4-5D6E-409C-BE32-E72D297353CC}">
              <c16:uniqueId val="{00000000-274C-4EE7-8330-C0BD0FD767A5}"/>
            </c:ext>
          </c:extLst>
        </c:ser>
        <c:dLbls>
          <c:dLblPos val="outEnd"/>
          <c:showLegendKey val="0"/>
          <c:showVal val="1"/>
          <c:showCatName val="0"/>
          <c:showSerName val="0"/>
          <c:showPercent val="0"/>
          <c:showBubbleSize val="0"/>
        </c:dLbls>
        <c:gapWidth val="182"/>
        <c:axId val="1781830047"/>
        <c:axId val="1781830527"/>
      </c:barChart>
      <c:catAx>
        <c:axId val="178183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1830527"/>
        <c:crosses val="autoZero"/>
        <c:auto val="1"/>
        <c:lblAlgn val="ctr"/>
        <c:lblOffset val="100"/>
        <c:noMultiLvlLbl val="0"/>
      </c:catAx>
      <c:valAx>
        <c:axId val="17818305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183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[Winter_Fashion_Trends_Dataset.xlsx]Sales Volume &amp; Avg !PivotTable4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rPr>
              <a:t>Category Performance: Sales vs Avg Price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Volume &amp; Avg '!$B$3</c:f>
              <c:strCache>
                <c:ptCount val="1"/>
                <c:pt idx="0">
                  <c:v>Sum of Price(USD)</c:v>
                </c:pt>
              </c:strCache>
            </c:strRef>
          </c:tx>
          <c:spPr>
            <a:solidFill>
              <a:schemeClr val="accent1"/>
            </a:solidFill>
            <a:ln>
              <a:noFill/>
            </a:ln>
            <a:effectLst/>
          </c:spPr>
          <c:invertIfNegative val="0"/>
          <c:cat>
            <c:strRef>
              <c:f>'Sales Volume &amp; Avg '!$A$4:$A$14</c:f>
              <c:strCache>
                <c:ptCount val="10"/>
                <c:pt idx="0">
                  <c:v>Gloves</c:v>
                </c:pt>
                <c:pt idx="1">
                  <c:v>Thermal</c:v>
                </c:pt>
                <c:pt idx="2">
                  <c:v>Beanie</c:v>
                </c:pt>
                <c:pt idx="3">
                  <c:v>Scarf</c:v>
                </c:pt>
                <c:pt idx="4">
                  <c:v>Sweater</c:v>
                </c:pt>
                <c:pt idx="5">
                  <c:v>Hoodie</c:v>
                </c:pt>
                <c:pt idx="6">
                  <c:v>Cardigan</c:v>
                </c:pt>
                <c:pt idx="7">
                  <c:v>Coat</c:v>
                </c:pt>
                <c:pt idx="8">
                  <c:v>Jacket</c:v>
                </c:pt>
                <c:pt idx="9">
                  <c:v>Boots</c:v>
                </c:pt>
              </c:strCache>
            </c:strRef>
          </c:cat>
          <c:val>
            <c:numRef>
              <c:f>'Sales Volume &amp; Avg '!$B$4:$B$14</c:f>
              <c:numCache>
                <c:formatCode>General</c:formatCode>
                <c:ptCount val="10"/>
                <c:pt idx="0">
                  <c:v>2183.12</c:v>
                </c:pt>
                <c:pt idx="1">
                  <c:v>1610.8100000000002</c:v>
                </c:pt>
                <c:pt idx="2">
                  <c:v>1451.72</c:v>
                </c:pt>
                <c:pt idx="3">
                  <c:v>1196.6799999999998</c:v>
                </c:pt>
                <c:pt idx="4">
                  <c:v>1136.72</c:v>
                </c:pt>
                <c:pt idx="5">
                  <c:v>1131.69</c:v>
                </c:pt>
                <c:pt idx="6">
                  <c:v>746.94</c:v>
                </c:pt>
                <c:pt idx="7">
                  <c:v>512.29</c:v>
                </c:pt>
                <c:pt idx="8">
                  <c:v>466.12</c:v>
                </c:pt>
                <c:pt idx="9">
                  <c:v>295.41000000000003</c:v>
                </c:pt>
              </c:numCache>
            </c:numRef>
          </c:val>
          <c:extLst>
            <c:ext xmlns:c16="http://schemas.microsoft.com/office/drawing/2014/chart" uri="{C3380CC4-5D6E-409C-BE32-E72D297353CC}">
              <c16:uniqueId val="{00000000-F42E-476E-8631-B923D43708E6}"/>
            </c:ext>
          </c:extLst>
        </c:ser>
        <c:dLbls>
          <c:showLegendKey val="0"/>
          <c:showVal val="0"/>
          <c:showCatName val="0"/>
          <c:showSerName val="0"/>
          <c:showPercent val="0"/>
          <c:showBubbleSize val="0"/>
        </c:dLbls>
        <c:gapWidth val="219"/>
        <c:overlap val="-27"/>
        <c:axId val="1781797887"/>
        <c:axId val="1781812767"/>
      </c:barChart>
      <c:lineChart>
        <c:grouping val="standard"/>
        <c:varyColors val="0"/>
        <c:ser>
          <c:idx val="1"/>
          <c:order val="1"/>
          <c:tx>
            <c:strRef>
              <c:f>'Sales Volume &amp; Avg '!$C$3</c:f>
              <c:strCache>
                <c:ptCount val="1"/>
                <c:pt idx="0">
                  <c:v>Average of Price(USD)</c:v>
                </c:pt>
              </c:strCache>
            </c:strRef>
          </c:tx>
          <c:spPr>
            <a:ln w="28575" cap="rnd">
              <a:solidFill>
                <a:schemeClr val="accent2"/>
              </a:solidFill>
              <a:round/>
            </a:ln>
            <a:effectLst/>
          </c:spPr>
          <c:marker>
            <c:symbol val="none"/>
          </c:marker>
          <c:cat>
            <c:strRef>
              <c:f>'Sales Volume &amp; Avg '!$A$4:$A$14</c:f>
              <c:strCache>
                <c:ptCount val="10"/>
                <c:pt idx="0">
                  <c:v>Gloves</c:v>
                </c:pt>
                <c:pt idx="1">
                  <c:v>Thermal</c:v>
                </c:pt>
                <c:pt idx="2">
                  <c:v>Beanie</c:v>
                </c:pt>
                <c:pt idx="3">
                  <c:v>Scarf</c:v>
                </c:pt>
                <c:pt idx="4">
                  <c:v>Sweater</c:v>
                </c:pt>
                <c:pt idx="5">
                  <c:v>Hoodie</c:v>
                </c:pt>
                <c:pt idx="6">
                  <c:v>Cardigan</c:v>
                </c:pt>
                <c:pt idx="7">
                  <c:v>Coat</c:v>
                </c:pt>
                <c:pt idx="8">
                  <c:v>Jacket</c:v>
                </c:pt>
                <c:pt idx="9">
                  <c:v>Boots</c:v>
                </c:pt>
              </c:strCache>
            </c:strRef>
          </c:cat>
          <c:val>
            <c:numRef>
              <c:f>'Sales Volume &amp; Avg '!$C$4:$C$14</c:f>
              <c:numCache>
                <c:formatCode>0.00</c:formatCode>
                <c:ptCount val="10"/>
                <c:pt idx="0">
                  <c:v>545.78</c:v>
                </c:pt>
                <c:pt idx="1">
                  <c:v>402.70250000000004</c:v>
                </c:pt>
                <c:pt idx="2">
                  <c:v>483.90666666666669</c:v>
                </c:pt>
                <c:pt idx="3">
                  <c:v>299.16999999999996</c:v>
                </c:pt>
                <c:pt idx="4">
                  <c:v>284.18</c:v>
                </c:pt>
                <c:pt idx="5">
                  <c:v>377.23</c:v>
                </c:pt>
                <c:pt idx="6">
                  <c:v>373.47</c:v>
                </c:pt>
                <c:pt idx="7">
                  <c:v>512.29</c:v>
                </c:pt>
                <c:pt idx="8">
                  <c:v>233.06</c:v>
                </c:pt>
                <c:pt idx="9">
                  <c:v>295.41000000000003</c:v>
                </c:pt>
              </c:numCache>
            </c:numRef>
          </c:val>
          <c:smooth val="0"/>
          <c:extLst>
            <c:ext xmlns:c16="http://schemas.microsoft.com/office/drawing/2014/chart" uri="{C3380CC4-5D6E-409C-BE32-E72D297353CC}">
              <c16:uniqueId val="{00000001-F42E-476E-8631-B923D43708E6}"/>
            </c:ext>
          </c:extLst>
        </c:ser>
        <c:dLbls>
          <c:showLegendKey val="0"/>
          <c:showVal val="0"/>
          <c:showCatName val="0"/>
          <c:showSerName val="0"/>
          <c:showPercent val="0"/>
          <c:showBubbleSize val="0"/>
        </c:dLbls>
        <c:marker val="1"/>
        <c:smooth val="0"/>
        <c:axId val="1781817087"/>
        <c:axId val="1781820447"/>
      </c:lineChart>
      <c:catAx>
        <c:axId val="178179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1812767"/>
        <c:crosses val="autoZero"/>
        <c:auto val="1"/>
        <c:lblAlgn val="ctr"/>
        <c:lblOffset val="100"/>
        <c:noMultiLvlLbl val="0"/>
      </c:catAx>
      <c:valAx>
        <c:axId val="178181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1797887"/>
        <c:crosses val="autoZero"/>
        <c:crossBetween val="between"/>
      </c:valAx>
      <c:valAx>
        <c:axId val="17818204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1817087"/>
        <c:crosses val="max"/>
        <c:crossBetween val="between"/>
      </c:valAx>
      <c:catAx>
        <c:axId val="1781817087"/>
        <c:scaling>
          <c:orientation val="minMax"/>
        </c:scaling>
        <c:delete val="1"/>
        <c:axPos val="b"/>
        <c:numFmt formatCode="General" sourceLinked="1"/>
        <c:majorTickMark val="out"/>
        <c:minorTickMark val="none"/>
        <c:tickLblPos val="nextTo"/>
        <c:crossAx val="178182044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[Winter_Fashion_Trends_Dataset.xlsx]Relation btw price &amp; popular !PivotTable5</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Relation Between: Price and Popular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 btw price &amp; popular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btw price &amp; popular '!$A$4:$A$7</c:f>
              <c:strCache>
                <c:ptCount val="4"/>
                <c:pt idx="0">
                  <c:v>230.07-430.07</c:v>
                </c:pt>
                <c:pt idx="1">
                  <c:v>430.07-630.07</c:v>
                </c:pt>
                <c:pt idx="2">
                  <c:v>30.07-230.07</c:v>
                </c:pt>
                <c:pt idx="3">
                  <c:v>630.07-830.07</c:v>
                </c:pt>
              </c:strCache>
            </c:strRef>
          </c:cat>
          <c:val>
            <c:numRef>
              <c:f>'Relation btw price &amp; popular '!$B$4:$B$7</c:f>
              <c:numCache>
                <c:formatCode>0.00</c:formatCode>
                <c:ptCount val="4"/>
                <c:pt idx="0">
                  <c:v>6.5666666666666664</c:v>
                </c:pt>
                <c:pt idx="1">
                  <c:v>4.4250000000000007</c:v>
                </c:pt>
                <c:pt idx="2">
                  <c:v>4.3142857142857141</c:v>
                </c:pt>
                <c:pt idx="3">
                  <c:v>4.125</c:v>
                </c:pt>
              </c:numCache>
            </c:numRef>
          </c:val>
          <c:extLst>
            <c:ext xmlns:c16="http://schemas.microsoft.com/office/drawing/2014/chart" uri="{C3380CC4-5D6E-409C-BE32-E72D297353CC}">
              <c16:uniqueId val="{00000000-B4B9-4677-9368-D35B1BB1DF58}"/>
            </c:ext>
          </c:extLst>
        </c:ser>
        <c:dLbls>
          <c:dLblPos val="inEnd"/>
          <c:showLegendKey val="0"/>
          <c:showVal val="1"/>
          <c:showCatName val="0"/>
          <c:showSerName val="0"/>
          <c:showPercent val="0"/>
          <c:showBubbleSize val="0"/>
        </c:dLbls>
        <c:gapWidth val="219"/>
        <c:overlap val="-27"/>
        <c:axId val="1781793567"/>
        <c:axId val="1781791647"/>
      </c:barChart>
      <c:catAx>
        <c:axId val="178179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1791647"/>
        <c:crosses val="autoZero"/>
        <c:auto val="1"/>
        <c:lblAlgn val="ctr"/>
        <c:lblOffset val="100"/>
        <c:noMultiLvlLbl val="0"/>
      </c:catAx>
      <c:valAx>
        <c:axId val="17817916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179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[Winter_Fashion_Trends_Dataset.xlsx]Preference Style!PivotTable1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solidFill>
                  <a:schemeClr val="tx1"/>
                </a:solidFill>
              </a:rPr>
              <a:t>Customer Preference by Style (Based on Popularity Score)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b="1">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
              <c:y val="-8.79629629629630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2777777777777768"/>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0.10555555555555556"/>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9.1666666666666646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dLbl>
          <c:idx val="0"/>
          <c:layout>
            <c:manualLayout>
              <c:x val="-0.12777777777777777"/>
              <c:y val="5.09259259259257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
              <c:y val="-8.79629629629630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2777777777777768"/>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777777777777777"/>
              <c:y val="5.09259259259257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9.1666666666666646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555555555555556"/>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'Preference Style'!$B$3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CB-441E-A602-3B2C40D4D8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CB-441E-A602-3B2C40D4D8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CB-441E-A602-3B2C40D4D8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CB-441E-A602-3B2C40D4D8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CB-441E-A602-3B2C40D4D81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'Preference Style'!$A$4:$A$8</c:f>
              <c:strCache>
                <c:ptCount val="5"/>
                <c:pt idx="0">
                  <c:v>Streetwear</c:v>
                </c:pt>
                <c:pt idx="1">
                  <c:v>Luxury</c:v>
                </c:pt>
                <c:pt idx="2">
                  <c:v>Sporty</c:v>
                </c:pt>
                <c:pt idx="3">
                  <c:v>Formal</c:v>
                </c:pt>
                <c:pt idx="4">
                  <c:v>Casual</c:v>
                </c:pt>
              </c:strCache>
            </c:strRef>
          </c:cat>
          <c:val>
            <c:numRef>
              <c:f>'Preference Style'!$B$4:$B$8</c:f>
              <c:numCache>
                <c:formatCode>0.00</c:formatCode>
                <c:ptCount val="5"/>
                <c:pt idx="0">
                  <c:v>6.1749999999999998</c:v>
                </c:pt>
                <c:pt idx="1">
                  <c:v>5.42</c:v>
                </c:pt>
                <c:pt idx="2">
                  <c:v>4</c:v>
                </c:pt>
                <c:pt idx="3">
                  <c:v>3.6666666666666661</c:v>
                </c:pt>
                <c:pt idx="4">
                  <c:v>3.6</c:v>
                </c:pt>
              </c:numCache>
            </c:numRef>
          </c:val>
          <c:extLst>
            <c:ext xmlns:c16="http://schemas.microsoft.com/office/drawing/2014/chart" uri="{C3380CC4-5D6E-409C-BE32-E72D297353CC}">
              <c16:uniqueId val="{0000000A-1FCB-441E-A602-3B2C40D4D81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[Winter_Fashion_Trends_Dataset.xlsx]Sales &amp; Avg Rating!PivotTable1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Brand Sales Overview (with Avg Rating Insight)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&amp; Avg Rating'!$B$3</c:f>
              <c:strCache>
                <c:ptCount val="1"/>
                <c:pt idx="0">
                  <c:v>Sum of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&amp; Avg Rating'!$A$4:$A$12</c:f>
              <c:strCache>
                <c:ptCount val="9"/>
                <c:pt idx="0">
                  <c:v>Mango</c:v>
                </c:pt>
                <c:pt idx="1">
                  <c:v>North Face</c:v>
                </c:pt>
                <c:pt idx="2">
                  <c:v>Levi's</c:v>
                </c:pt>
                <c:pt idx="3">
                  <c:v>Nike</c:v>
                </c:pt>
                <c:pt idx="4">
                  <c:v>Uniqlo</c:v>
                </c:pt>
                <c:pt idx="5">
                  <c:v>Prada</c:v>
                </c:pt>
                <c:pt idx="6">
                  <c:v>Adidas</c:v>
                </c:pt>
                <c:pt idx="7">
                  <c:v>Gucci</c:v>
                </c:pt>
                <c:pt idx="8">
                  <c:v>Zara</c:v>
                </c:pt>
              </c:strCache>
            </c:strRef>
          </c:cat>
          <c:val>
            <c:numRef>
              <c:f>'Sales &amp; Avg Rating'!$B$4:$B$12</c:f>
              <c:numCache>
                <c:formatCode>General</c:formatCode>
                <c:ptCount val="9"/>
                <c:pt idx="0">
                  <c:v>433</c:v>
                </c:pt>
                <c:pt idx="1">
                  <c:v>395</c:v>
                </c:pt>
                <c:pt idx="2">
                  <c:v>286</c:v>
                </c:pt>
                <c:pt idx="3">
                  <c:v>246</c:v>
                </c:pt>
                <c:pt idx="4">
                  <c:v>234</c:v>
                </c:pt>
                <c:pt idx="5">
                  <c:v>178</c:v>
                </c:pt>
                <c:pt idx="6">
                  <c:v>142</c:v>
                </c:pt>
                <c:pt idx="7">
                  <c:v>124</c:v>
                </c:pt>
                <c:pt idx="8">
                  <c:v>43</c:v>
                </c:pt>
              </c:numCache>
            </c:numRef>
          </c:val>
          <c:smooth val="0"/>
          <c:extLst>
            <c:ext xmlns:c16="http://schemas.microsoft.com/office/drawing/2014/chart" uri="{C3380CC4-5D6E-409C-BE32-E72D297353CC}">
              <c16:uniqueId val="{00000000-A09D-4150-AC22-D1C189AF0A5B}"/>
            </c:ext>
          </c:extLst>
        </c:ser>
        <c:dLbls>
          <c:showLegendKey val="0"/>
          <c:showVal val="0"/>
          <c:showCatName val="0"/>
          <c:showSerName val="0"/>
          <c:showPercent val="0"/>
          <c:showBubbleSize val="0"/>
        </c:dLbls>
        <c:marker val="1"/>
        <c:smooth val="0"/>
        <c:axId val="1563875551"/>
        <c:axId val="1563876031"/>
      </c:lineChart>
      <c:lineChart>
        <c:grouping val="standard"/>
        <c:varyColors val="0"/>
        <c:ser>
          <c:idx val="1"/>
          <c:order val="1"/>
          <c:tx>
            <c:strRef>
              <c:f>'Sales &amp; Avg Rating'!$C$3</c:f>
              <c:strCache>
                <c:ptCount val="1"/>
                <c:pt idx="0">
                  <c:v>Average of Customer_Rating</c:v>
                </c:pt>
              </c:strCache>
            </c:strRef>
          </c:tx>
          <c:spPr>
            <a:ln w="28575" cap="rnd">
              <a:noFill/>
              <a:round/>
            </a:ln>
            <a:effectLst/>
          </c:spPr>
          <c:marker>
            <c:symbol val="circle"/>
            <c:size val="5"/>
            <c:spPr>
              <a:solidFill>
                <a:schemeClr val="accent2"/>
              </a:solidFill>
              <a:ln w="9525">
                <a:solidFill>
                  <a:schemeClr val="accent2"/>
                </a:solidFill>
              </a:ln>
              <a:effectLst/>
            </c:spPr>
          </c:marker>
          <c:cat>
            <c:strRef>
              <c:f>'Sales &amp; Avg Rating'!$A$4:$A$12</c:f>
              <c:strCache>
                <c:ptCount val="9"/>
                <c:pt idx="0">
                  <c:v>Mango</c:v>
                </c:pt>
                <c:pt idx="1">
                  <c:v>North Face</c:v>
                </c:pt>
                <c:pt idx="2">
                  <c:v>Levi's</c:v>
                </c:pt>
                <c:pt idx="3">
                  <c:v>Nike</c:v>
                </c:pt>
                <c:pt idx="4">
                  <c:v>Uniqlo</c:v>
                </c:pt>
                <c:pt idx="5">
                  <c:v>Prada</c:v>
                </c:pt>
                <c:pt idx="6">
                  <c:v>Adidas</c:v>
                </c:pt>
                <c:pt idx="7">
                  <c:v>Gucci</c:v>
                </c:pt>
                <c:pt idx="8">
                  <c:v>Zara</c:v>
                </c:pt>
              </c:strCache>
            </c:strRef>
          </c:cat>
          <c:val>
            <c:numRef>
              <c:f>'Sales &amp; Avg Rating'!$C$4:$C$12</c:f>
              <c:numCache>
                <c:formatCode>0.00</c:formatCode>
                <c:ptCount val="9"/>
                <c:pt idx="0">
                  <c:v>3.7285714285714282</c:v>
                </c:pt>
                <c:pt idx="1">
                  <c:v>3.4599999999999995</c:v>
                </c:pt>
                <c:pt idx="2">
                  <c:v>3.1333333333333329</c:v>
                </c:pt>
                <c:pt idx="3">
                  <c:v>4.6500000000000004</c:v>
                </c:pt>
                <c:pt idx="4">
                  <c:v>4.0250000000000004</c:v>
                </c:pt>
                <c:pt idx="5">
                  <c:v>3.25</c:v>
                </c:pt>
                <c:pt idx="6">
                  <c:v>3.9</c:v>
                </c:pt>
                <c:pt idx="7">
                  <c:v>3.6333333333333333</c:v>
                </c:pt>
                <c:pt idx="8">
                  <c:v>3.8</c:v>
                </c:pt>
              </c:numCache>
            </c:numRef>
          </c:val>
          <c:smooth val="0"/>
          <c:extLst>
            <c:ext xmlns:c16="http://schemas.microsoft.com/office/drawing/2014/chart" uri="{C3380CC4-5D6E-409C-BE32-E72D297353CC}">
              <c16:uniqueId val="{00000001-A09D-4150-AC22-D1C189AF0A5B}"/>
            </c:ext>
          </c:extLst>
        </c:ser>
        <c:dLbls>
          <c:showLegendKey val="0"/>
          <c:showVal val="0"/>
          <c:showCatName val="0"/>
          <c:showSerName val="0"/>
          <c:showPercent val="0"/>
          <c:showBubbleSize val="0"/>
        </c:dLbls>
        <c:marker val="1"/>
        <c:smooth val="0"/>
        <c:axId val="1781809887"/>
        <c:axId val="1781811327"/>
      </c:lineChart>
      <c:catAx>
        <c:axId val="156387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876031"/>
        <c:crosses val="autoZero"/>
        <c:auto val="1"/>
        <c:lblAlgn val="ctr"/>
        <c:lblOffset val="100"/>
        <c:noMultiLvlLbl val="0"/>
      </c:catAx>
      <c:valAx>
        <c:axId val="156387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875551"/>
        <c:crosses val="autoZero"/>
        <c:crossBetween val="between"/>
      </c:valAx>
      <c:valAx>
        <c:axId val="178181132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09887"/>
        <c:crosses val="max"/>
        <c:crossBetween val="between"/>
      </c:valAx>
      <c:catAx>
        <c:axId val="1781809887"/>
        <c:scaling>
          <c:orientation val="minMax"/>
        </c:scaling>
        <c:delete val="1"/>
        <c:axPos val="b"/>
        <c:numFmt formatCode="General" sourceLinked="1"/>
        <c:majorTickMark val="out"/>
        <c:minorTickMark val="none"/>
        <c:tickLblPos val="nextTo"/>
        <c:crossAx val="17818113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[Winter_Fashion_Trends_Dataset.xlsx]Sales per gender!PivotTable2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 per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B8FF-4C29-ADAC-E217CAFA73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8FF-4C29-ADAC-E217CAFA73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B8FF-4C29-ADAC-E217CAFA734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per gender'!$A$4:$A$6</c:f>
              <c:strCache>
                <c:ptCount val="3"/>
                <c:pt idx="0">
                  <c:v>Women</c:v>
                </c:pt>
                <c:pt idx="1">
                  <c:v>Unisex</c:v>
                </c:pt>
                <c:pt idx="2">
                  <c:v>Men</c:v>
                </c:pt>
              </c:strCache>
            </c:strRef>
          </c:cat>
          <c:val>
            <c:numRef>
              <c:f>'Sales per gender'!$B$4:$B$6</c:f>
              <c:numCache>
                <c:formatCode>General</c:formatCode>
                <c:ptCount val="3"/>
                <c:pt idx="0">
                  <c:v>4604.7299999999996</c:v>
                </c:pt>
                <c:pt idx="1">
                  <c:v>3324.2300000000005</c:v>
                </c:pt>
                <c:pt idx="2">
                  <c:v>2802.54</c:v>
                </c:pt>
              </c:numCache>
            </c:numRef>
          </c:val>
          <c:extLst>
            <c:ext xmlns:c16="http://schemas.microsoft.com/office/drawing/2014/chart" uri="{C3380CC4-5D6E-409C-BE32-E72D297353CC}">
              <c16:uniqueId val="{00000000-B8FF-4C29-ADAC-E217CAFA734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[Winter_Fashion_Trends_Dataset.xlsx]Popular color!PivotTable3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Popular</a:t>
            </a:r>
            <a:r>
              <a:rPr lang="en-US" b="1" baseline="0"/>
              <a:t> color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'Popular color'!$B$3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'Popular color'!$A$4:$A$12</c:f>
              <c:strCache>
                <c:ptCount val="9"/>
                <c:pt idx="0">
                  <c:v>Brown</c:v>
                </c:pt>
                <c:pt idx="1">
                  <c:v>Maroon</c:v>
                </c:pt>
                <c:pt idx="2">
                  <c:v>Black</c:v>
                </c:pt>
                <c:pt idx="3">
                  <c:v>Gray</c:v>
                </c:pt>
                <c:pt idx="4">
                  <c:v>Blue</c:v>
                </c:pt>
                <c:pt idx="5">
                  <c:v>White</c:v>
                </c:pt>
                <c:pt idx="6">
                  <c:v>Red</c:v>
                </c:pt>
                <c:pt idx="7">
                  <c:v>Cream</c:v>
                </c:pt>
                <c:pt idx="8">
                  <c:v>Beige</c:v>
                </c:pt>
              </c:strCache>
            </c:strRef>
          </c:cat>
          <c:val>
            <c:numRef>
              <c:f>'Popular color'!$B$4:$B$12</c:f>
              <c:numCache>
                <c:formatCode>0</c:formatCode>
                <c:ptCount val="9"/>
                <c:pt idx="0">
                  <c:v>589</c:v>
                </c:pt>
                <c:pt idx="1">
                  <c:v>415</c:v>
                </c:pt>
                <c:pt idx="2">
                  <c:v>304</c:v>
                </c:pt>
                <c:pt idx="3">
                  <c:v>225</c:v>
                </c:pt>
                <c:pt idx="4">
                  <c:v>183</c:v>
                </c:pt>
                <c:pt idx="5">
                  <c:v>160</c:v>
                </c:pt>
                <c:pt idx="6">
                  <c:v>154</c:v>
                </c:pt>
                <c:pt idx="7">
                  <c:v>37</c:v>
                </c:pt>
                <c:pt idx="8">
                  <c:v>14</c:v>
                </c:pt>
              </c:numCache>
            </c:numRef>
          </c:val>
          <c:extLst>
            <c:ext xmlns:c16="http://schemas.microsoft.com/office/drawing/2014/chart" uri="{C3380CC4-5D6E-409C-BE32-E72D297353CC}">
              <c16:uniqueId val="{00000000-E541-479A-AB49-F21A9B746407}"/>
            </c:ext>
          </c:extLst>
        </c:ser>
        <c:dLbls>
          <c:dLblPos val="outEnd"/>
          <c:showLegendKey val="0"/>
          <c:showVal val="1"/>
          <c:showCatName val="0"/>
          <c:showSerName val="0"/>
          <c:showPercent val="0"/>
          <c:showBubbleSize val="0"/>
        </c:dLbls>
        <c:gapWidth val="182"/>
        <c:axId val="1781830047"/>
        <c:axId val="1781830527"/>
      </c:barChart>
      <c:catAx>
        <c:axId val="178183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30527"/>
        <c:crosses val="autoZero"/>
        <c:auto val="1"/>
        <c:lblAlgn val="ctr"/>
        <c:lblOffset val="100"/>
        <c:noMultiLvlLbl val="0"/>
      </c:catAx>
      <c:valAx>
        <c:axId val="17818305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3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[Winter_Fashion_Trends_Dataset.xlsx]Sales Volume &amp; Avg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Category Performance: Sales vs Avg Price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Volume &amp; Avg '!$B$3</c:f>
              <c:strCache>
                <c:ptCount val="1"/>
                <c:pt idx="0">
                  <c:v>Sum of Price(USD)</c:v>
                </c:pt>
              </c:strCache>
            </c:strRef>
          </c:tx>
          <c:spPr>
            <a:solidFill>
              <a:schemeClr val="accent1"/>
            </a:solidFill>
            <a:ln>
              <a:noFill/>
            </a:ln>
            <a:effectLst/>
          </c:spPr>
          <c:invertIfNegative val="0"/>
          <c:cat>
            <c:strRef>
              <c:f>'Sales Volume &amp; Avg '!$A$4:$A$14</c:f>
              <c:strCache>
                <c:ptCount val="10"/>
                <c:pt idx="0">
                  <c:v>Gloves</c:v>
                </c:pt>
                <c:pt idx="1">
                  <c:v>Thermal</c:v>
                </c:pt>
                <c:pt idx="2">
                  <c:v>Beanie</c:v>
                </c:pt>
                <c:pt idx="3">
                  <c:v>Scarf</c:v>
                </c:pt>
                <c:pt idx="4">
                  <c:v>Sweater</c:v>
                </c:pt>
                <c:pt idx="5">
                  <c:v>Hoodie</c:v>
                </c:pt>
                <c:pt idx="6">
                  <c:v>Cardigan</c:v>
                </c:pt>
                <c:pt idx="7">
                  <c:v>Coat</c:v>
                </c:pt>
                <c:pt idx="8">
                  <c:v>Jacket</c:v>
                </c:pt>
                <c:pt idx="9">
                  <c:v>Boots</c:v>
                </c:pt>
              </c:strCache>
            </c:strRef>
          </c:cat>
          <c:val>
            <c:numRef>
              <c:f>'Sales Volume &amp; Avg '!$B$4:$B$14</c:f>
              <c:numCache>
                <c:formatCode>General</c:formatCode>
                <c:ptCount val="10"/>
                <c:pt idx="0">
                  <c:v>2183.12</c:v>
                </c:pt>
                <c:pt idx="1">
                  <c:v>1610.8100000000002</c:v>
                </c:pt>
                <c:pt idx="2">
                  <c:v>1451.72</c:v>
                </c:pt>
                <c:pt idx="3">
                  <c:v>1196.6799999999998</c:v>
                </c:pt>
                <c:pt idx="4">
                  <c:v>1136.72</c:v>
                </c:pt>
                <c:pt idx="5">
                  <c:v>1131.69</c:v>
                </c:pt>
                <c:pt idx="6">
                  <c:v>746.94</c:v>
                </c:pt>
                <c:pt idx="7">
                  <c:v>512.29</c:v>
                </c:pt>
                <c:pt idx="8">
                  <c:v>466.12</c:v>
                </c:pt>
                <c:pt idx="9">
                  <c:v>295.41000000000003</c:v>
                </c:pt>
              </c:numCache>
            </c:numRef>
          </c:val>
          <c:extLst>
            <c:ext xmlns:c16="http://schemas.microsoft.com/office/drawing/2014/chart" uri="{C3380CC4-5D6E-409C-BE32-E72D297353CC}">
              <c16:uniqueId val="{00000000-765C-4ABA-BB7A-8BAD7BEFCAC6}"/>
            </c:ext>
          </c:extLst>
        </c:ser>
        <c:dLbls>
          <c:showLegendKey val="0"/>
          <c:showVal val="0"/>
          <c:showCatName val="0"/>
          <c:showSerName val="0"/>
          <c:showPercent val="0"/>
          <c:showBubbleSize val="0"/>
        </c:dLbls>
        <c:gapWidth val="219"/>
        <c:overlap val="-27"/>
        <c:axId val="1781797887"/>
        <c:axId val="1781812767"/>
      </c:barChart>
      <c:lineChart>
        <c:grouping val="standard"/>
        <c:varyColors val="0"/>
        <c:ser>
          <c:idx val="1"/>
          <c:order val="1"/>
          <c:tx>
            <c:strRef>
              <c:f>'Sales Volume &amp; Avg '!$C$3</c:f>
              <c:strCache>
                <c:ptCount val="1"/>
                <c:pt idx="0">
                  <c:v>Average of Price(USD)</c:v>
                </c:pt>
              </c:strCache>
            </c:strRef>
          </c:tx>
          <c:spPr>
            <a:ln w="28575" cap="rnd">
              <a:solidFill>
                <a:schemeClr val="accent2"/>
              </a:solidFill>
              <a:round/>
            </a:ln>
            <a:effectLst/>
          </c:spPr>
          <c:marker>
            <c:symbol val="none"/>
          </c:marker>
          <c:cat>
            <c:strRef>
              <c:f>'Sales Volume &amp; Avg '!$A$4:$A$14</c:f>
              <c:strCache>
                <c:ptCount val="10"/>
                <c:pt idx="0">
                  <c:v>Gloves</c:v>
                </c:pt>
                <c:pt idx="1">
                  <c:v>Thermal</c:v>
                </c:pt>
                <c:pt idx="2">
                  <c:v>Beanie</c:v>
                </c:pt>
                <c:pt idx="3">
                  <c:v>Scarf</c:v>
                </c:pt>
                <c:pt idx="4">
                  <c:v>Sweater</c:v>
                </c:pt>
                <c:pt idx="5">
                  <c:v>Hoodie</c:v>
                </c:pt>
                <c:pt idx="6">
                  <c:v>Cardigan</c:v>
                </c:pt>
                <c:pt idx="7">
                  <c:v>Coat</c:v>
                </c:pt>
                <c:pt idx="8">
                  <c:v>Jacket</c:v>
                </c:pt>
                <c:pt idx="9">
                  <c:v>Boots</c:v>
                </c:pt>
              </c:strCache>
            </c:strRef>
          </c:cat>
          <c:val>
            <c:numRef>
              <c:f>'Sales Volume &amp; Avg '!$C$4:$C$14</c:f>
              <c:numCache>
                <c:formatCode>0.00</c:formatCode>
                <c:ptCount val="10"/>
                <c:pt idx="0">
                  <c:v>545.78</c:v>
                </c:pt>
                <c:pt idx="1">
                  <c:v>402.70250000000004</c:v>
                </c:pt>
                <c:pt idx="2">
                  <c:v>483.90666666666669</c:v>
                </c:pt>
                <c:pt idx="3">
                  <c:v>299.16999999999996</c:v>
                </c:pt>
                <c:pt idx="4">
                  <c:v>284.18</c:v>
                </c:pt>
                <c:pt idx="5">
                  <c:v>377.23</c:v>
                </c:pt>
                <c:pt idx="6">
                  <c:v>373.47</c:v>
                </c:pt>
                <c:pt idx="7">
                  <c:v>512.29</c:v>
                </c:pt>
                <c:pt idx="8">
                  <c:v>233.06</c:v>
                </c:pt>
                <c:pt idx="9">
                  <c:v>295.41000000000003</c:v>
                </c:pt>
              </c:numCache>
            </c:numRef>
          </c:val>
          <c:smooth val="0"/>
          <c:extLst>
            <c:ext xmlns:c16="http://schemas.microsoft.com/office/drawing/2014/chart" uri="{C3380CC4-5D6E-409C-BE32-E72D297353CC}">
              <c16:uniqueId val="{00000001-765C-4ABA-BB7A-8BAD7BEFCAC6}"/>
            </c:ext>
          </c:extLst>
        </c:ser>
        <c:dLbls>
          <c:showLegendKey val="0"/>
          <c:showVal val="0"/>
          <c:showCatName val="0"/>
          <c:showSerName val="0"/>
          <c:showPercent val="0"/>
          <c:showBubbleSize val="0"/>
        </c:dLbls>
        <c:marker val="1"/>
        <c:smooth val="0"/>
        <c:axId val="1781817087"/>
        <c:axId val="1781820447"/>
      </c:lineChart>
      <c:catAx>
        <c:axId val="178179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12767"/>
        <c:crosses val="autoZero"/>
        <c:auto val="1"/>
        <c:lblAlgn val="ctr"/>
        <c:lblOffset val="100"/>
        <c:noMultiLvlLbl val="0"/>
      </c:catAx>
      <c:valAx>
        <c:axId val="178181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797887"/>
        <c:crosses val="autoZero"/>
        <c:crossBetween val="between"/>
      </c:valAx>
      <c:valAx>
        <c:axId val="17818204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17087"/>
        <c:crosses val="max"/>
        <c:crossBetween val="between"/>
      </c:valAx>
      <c:catAx>
        <c:axId val="1781817087"/>
        <c:scaling>
          <c:orientation val="minMax"/>
        </c:scaling>
        <c:delete val="1"/>
        <c:axPos val="b"/>
        <c:numFmt formatCode="General" sourceLinked="1"/>
        <c:majorTickMark val="out"/>
        <c:minorTickMark val="none"/>
        <c:tickLblPos val="nextTo"/>
        <c:crossAx val="178182044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[Winter_Fashion_Trends_Dataset.xlsx]Relation btw price &amp; popular !PivotTable5</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Relation Between: Price and Popular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 btw price &amp; popular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btw price &amp; popular '!$A$4:$A$7</c:f>
              <c:strCache>
                <c:ptCount val="4"/>
                <c:pt idx="0">
                  <c:v>230.07-430.07</c:v>
                </c:pt>
                <c:pt idx="1">
                  <c:v>430.07-630.07</c:v>
                </c:pt>
                <c:pt idx="2">
                  <c:v>30.07-230.07</c:v>
                </c:pt>
                <c:pt idx="3">
                  <c:v>630.07-830.07</c:v>
                </c:pt>
              </c:strCache>
            </c:strRef>
          </c:cat>
          <c:val>
            <c:numRef>
              <c:f>'Relation btw price &amp; popular '!$B$4:$B$7</c:f>
              <c:numCache>
                <c:formatCode>0.00</c:formatCode>
                <c:ptCount val="4"/>
                <c:pt idx="0">
                  <c:v>6.5666666666666664</c:v>
                </c:pt>
                <c:pt idx="1">
                  <c:v>4.4250000000000007</c:v>
                </c:pt>
                <c:pt idx="2">
                  <c:v>4.3142857142857141</c:v>
                </c:pt>
                <c:pt idx="3">
                  <c:v>4.125</c:v>
                </c:pt>
              </c:numCache>
            </c:numRef>
          </c:val>
          <c:extLst>
            <c:ext xmlns:c16="http://schemas.microsoft.com/office/drawing/2014/chart" uri="{C3380CC4-5D6E-409C-BE32-E72D297353CC}">
              <c16:uniqueId val="{00000000-E4F5-4331-B7DC-600F4ACAA0ED}"/>
            </c:ext>
          </c:extLst>
        </c:ser>
        <c:dLbls>
          <c:dLblPos val="inEnd"/>
          <c:showLegendKey val="0"/>
          <c:showVal val="1"/>
          <c:showCatName val="0"/>
          <c:showSerName val="0"/>
          <c:showPercent val="0"/>
          <c:showBubbleSize val="0"/>
        </c:dLbls>
        <c:gapWidth val="219"/>
        <c:overlap val="-27"/>
        <c:axId val="1781793567"/>
        <c:axId val="1781791647"/>
      </c:barChart>
      <c:catAx>
        <c:axId val="178179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1791647"/>
        <c:crosses val="autoZero"/>
        <c:auto val="1"/>
        <c:lblAlgn val="ctr"/>
        <c:lblOffset val="100"/>
        <c:noMultiLvlLbl val="0"/>
      </c:catAx>
      <c:valAx>
        <c:axId val="17817916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179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[Winter_Fashion_Trends_Dataset.xlsx]Preference Style!PivotTable1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solidFill>
                  <a:schemeClr val="tx1"/>
                </a:solidFill>
              </a:rPr>
              <a:t>Customer Preference by Style (Based on Popularity Score)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b="1">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777777777777777"/>
              <c:y val="5.09259259259257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
              <c:y val="-8.79629629629630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9.1666666666666646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777777777777768"/>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555555555555556"/>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'Preference Style'!$B$3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DF4-4330-A940-DBDFCFC1CE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F4-4330-A940-DBDFCFC1CE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8DF4-4330-A940-DBDFCFC1CE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8DF4-4330-A940-DBDFCFC1CE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8DF4-4330-A940-DBDFCFC1CED4}"/>
              </c:ext>
            </c:extLst>
          </c:dPt>
          <c:dLbls>
            <c:dLbl>
              <c:idx val="0"/>
              <c:layout>
                <c:manualLayout>
                  <c:x val="-0.12777777777777777"/>
                  <c:y val="5.09259259259257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DF4-4330-A940-DBDFCFC1CED4}"/>
                </c:ext>
              </c:extLst>
            </c:dLbl>
            <c:dLbl>
              <c:idx val="1"/>
              <c:layout>
                <c:manualLayout>
                  <c:x val="-9.1666666666666646E-2"/>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DF4-4330-A940-DBDFCFC1CED4}"/>
                </c:ext>
              </c:extLst>
            </c:dLbl>
            <c:dLbl>
              <c:idx val="2"/>
              <c:layout>
                <c:manualLayout>
                  <c:x val="0.1"/>
                  <c:y val="-8.79629629629630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8DF4-4330-A940-DBDFCFC1CED4}"/>
                </c:ext>
              </c:extLst>
            </c:dLbl>
            <c:dLbl>
              <c:idx val="3"/>
              <c:layout>
                <c:manualLayout>
                  <c:x val="0.12777777777777768"/>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DF4-4330-A940-DBDFCFC1CED4}"/>
                </c:ext>
              </c:extLst>
            </c:dLbl>
            <c:dLbl>
              <c:idx val="4"/>
              <c:layout>
                <c:manualLayout>
                  <c:x val="-0.10555555555555556"/>
                  <c:y val="-0.120370370370370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DF4-4330-A940-DBDFCFC1CED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'Preference Style'!$A$4:$A$8</c:f>
              <c:strCache>
                <c:ptCount val="5"/>
                <c:pt idx="0">
                  <c:v>Streetwear</c:v>
                </c:pt>
                <c:pt idx="1">
                  <c:v>Luxury</c:v>
                </c:pt>
                <c:pt idx="2">
                  <c:v>Sporty</c:v>
                </c:pt>
                <c:pt idx="3">
                  <c:v>Formal</c:v>
                </c:pt>
                <c:pt idx="4">
                  <c:v>Casual</c:v>
                </c:pt>
              </c:strCache>
            </c:strRef>
          </c:cat>
          <c:val>
            <c:numRef>
              <c:f>'Preference Style'!$B$4:$B$8</c:f>
              <c:numCache>
                <c:formatCode>0.00</c:formatCode>
                <c:ptCount val="5"/>
                <c:pt idx="0">
                  <c:v>6.1749999999999998</c:v>
                </c:pt>
                <c:pt idx="1">
                  <c:v>5.42</c:v>
                </c:pt>
                <c:pt idx="2">
                  <c:v>4</c:v>
                </c:pt>
                <c:pt idx="3">
                  <c:v>3.6666666666666661</c:v>
                </c:pt>
                <c:pt idx="4">
                  <c:v>3.6</c:v>
                </c:pt>
              </c:numCache>
            </c:numRef>
          </c:val>
          <c:extLst>
            <c:ext xmlns:c16="http://schemas.microsoft.com/office/drawing/2014/chart" uri="{C3380CC4-5D6E-409C-BE32-E72D297353CC}">
              <c16:uniqueId val="{00000000-8DF4-4330-A940-DBDFCFC1CED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213360</xdr:colOff>
      <xdr:row>1</xdr:row>
      <xdr:rowOff>83820</xdr:rowOff>
    </xdr:from>
    <xdr:to>
      <xdr:col>9</xdr:col>
      <xdr:colOff>68580</xdr:colOff>
      <xdr:row>15</xdr:row>
      <xdr:rowOff>167640</xdr:rowOff>
    </xdr:to>
    <xdr:graphicFrame macro="">
      <xdr:nvGraphicFramePr>
        <xdr:cNvPr id="2" name="Chart 1">
          <a:extLst>
            <a:ext uri="{FF2B5EF4-FFF2-40B4-BE49-F238E27FC236}">
              <a16:creationId xmlns:a16="http://schemas.microsoft.com/office/drawing/2014/main" id="{87D6CBD5-3B2F-4525-AF73-B729A4ED4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251460</xdr:colOff>
      <xdr:row>1</xdr:row>
      <xdr:rowOff>99060</xdr:rowOff>
    </xdr:from>
    <xdr:to>
      <xdr:col>13</xdr:col>
      <xdr:colOff>548640</xdr:colOff>
      <xdr:row>15</xdr:row>
      <xdr:rowOff>167640</xdr:rowOff>
    </xdr:to>
    <xdr:graphicFrame macro="">
      <xdr:nvGraphicFramePr>
        <xdr:cNvPr id="3" name="Chart 2">
          <a:extLst>
            <a:ext uri="{FF2B5EF4-FFF2-40B4-BE49-F238E27FC236}">
              <a16:creationId xmlns:a16="http://schemas.microsoft.com/office/drawing/2014/main" id="{10B5C744-0A6A-4281-B7CF-295830CD8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83820</xdr:colOff>
      <xdr:row>1</xdr:row>
      <xdr:rowOff>106680</xdr:rowOff>
    </xdr:from>
    <xdr:to>
      <xdr:col>21</xdr:col>
      <xdr:colOff>15240</xdr:colOff>
      <xdr:row>15</xdr:row>
      <xdr:rowOff>167640</xdr:rowOff>
    </xdr:to>
    <xdr:graphicFrame macro="">
      <xdr:nvGraphicFramePr>
        <xdr:cNvPr id="4" name="Chart 3">
          <a:extLst>
            <a:ext uri="{FF2B5EF4-FFF2-40B4-BE49-F238E27FC236}">
              <a16:creationId xmlns:a16="http://schemas.microsoft.com/office/drawing/2014/main" id="{3441992F-375E-445E-AA3B-142EEA32C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91440</xdr:colOff>
      <xdr:row>16</xdr:row>
      <xdr:rowOff>60960</xdr:rowOff>
    </xdr:from>
    <xdr:to>
      <xdr:col>8</xdr:col>
      <xdr:colOff>403860</xdr:colOff>
      <xdr:row>31</xdr:row>
      <xdr:rowOff>38100</xdr:rowOff>
    </xdr:to>
    <xdr:graphicFrame macro="">
      <xdr:nvGraphicFramePr>
        <xdr:cNvPr id="5" name="Chart 4">
          <a:extLst>
            <a:ext uri="{FF2B5EF4-FFF2-40B4-BE49-F238E27FC236}">
              <a16:creationId xmlns:a16="http://schemas.microsoft.com/office/drawing/2014/main" id="{B5E53AB1-0F68-4B29-8589-0BB5BE957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510540</xdr:colOff>
      <xdr:row>16</xdr:row>
      <xdr:rowOff>60960</xdr:rowOff>
    </xdr:from>
    <xdr:to>
      <xdr:col>14</xdr:col>
      <xdr:colOff>563880</xdr:colOff>
      <xdr:row>31</xdr:row>
      <xdr:rowOff>30480</xdr:rowOff>
    </xdr:to>
    <xdr:graphicFrame macro="">
      <xdr:nvGraphicFramePr>
        <xdr:cNvPr id="6" name="Chart 5">
          <a:extLst>
            <a:ext uri="{FF2B5EF4-FFF2-40B4-BE49-F238E27FC236}">
              <a16:creationId xmlns:a16="http://schemas.microsoft.com/office/drawing/2014/main" id="{84142723-CAC8-4D3E-AB15-0E3E398DB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16</xdr:row>
      <xdr:rowOff>53340</xdr:rowOff>
    </xdr:from>
    <xdr:to>
      <xdr:col>21</xdr:col>
      <xdr:colOff>0</xdr:colOff>
      <xdr:row>31</xdr:row>
      <xdr:rowOff>38100</xdr:rowOff>
    </xdr:to>
    <xdr:graphicFrame macro="">
      <xdr:nvGraphicFramePr>
        <xdr:cNvPr id="7" name="Chart 6">
          <a:extLst>
            <a:ext uri="{FF2B5EF4-FFF2-40B4-BE49-F238E27FC236}">
              <a16:creationId xmlns:a16="http://schemas.microsoft.com/office/drawing/2014/main" id="{0E0F5134-4811-4B7D-BBF9-023BEEA60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83820</xdr:colOff>
      <xdr:row>1</xdr:row>
      <xdr:rowOff>68580</xdr:rowOff>
    </xdr:from>
    <xdr:to>
      <xdr:col>2</xdr:col>
      <xdr:colOff>83820</xdr:colOff>
      <xdr:row>15</xdr:row>
      <xdr:rowOff>167640</xdr:rowOff>
    </xdr:to>
    <mc:AlternateContent xmlns:mc="http://schemas.openxmlformats.org/markup-compatibility/2006" xmlns:a14="http://schemas.microsoft.com/office/drawing/2010/main">
      <mc:Choice Requires="a14">
        <xdr:graphicFrame macro="">
          <xdr:nvGraphicFramePr>
            <xdr:cNvPr id="8" name="Trend_Status">
              <a:extLst>
                <a:ext uri="{FF2B5EF4-FFF2-40B4-BE49-F238E27FC236}">
                  <a16:creationId xmlns:a16="http://schemas.microsoft.com/office/drawing/2014/main" id="{4E626B5E-B019-D17C-E583-12DC0D62B719}"/>
                </a:ext>
              </a:extLst>
            </xdr:cNvPr>
            <xdr:cNvGraphicFramePr/>
          </xdr:nvGraphicFramePr>
          <xdr:xfrm>
            <a:off x="0" y="0"/>
            <a:ext cx="0" cy="0"/>
          </xdr:xfrm>
          <a:graphic>
            <a:graphicData uri="http://schemas.microsoft.com/office/drawing/2010/slicer">
              <sle:slicer xmlns:sle="http://schemas.microsoft.com/office/drawing/2010/slicer" name="Trend_Status"/>
            </a:graphicData>
          </a:graphic>
        </xdr:graphicFrame>
      </mc:Choice>
      <mc:Fallback xmlns="">
        <xdr:sp macro="" textlink="">
          <xdr:nvSpPr>
            <xdr:cNvPr id="0" name=""/>
            <xdr:cNvSpPr>
              <a:spLocks noTextEdit="1"/>
            </xdr:cNvSpPr>
          </xdr:nvSpPr>
          <xdr:spPr>
            <a:xfrm>
              <a:off x="83820" y="379396"/>
              <a:ext cx="1223211" cy="2625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480060</xdr:colOff>
      <xdr:row>2</xdr:row>
      <xdr:rowOff>144780</xdr:rowOff>
    </xdr:from>
    <xdr:to>
      <xdr:col>11</xdr:col>
      <xdr:colOff>175260</xdr:colOff>
      <xdr:row>17</xdr:row>
      <xdr:rowOff>144780</xdr:rowOff>
    </xdr:to>
    <xdr:graphicFrame macro="">
      <xdr:nvGraphicFramePr>
        <xdr:cNvPr id="2" name="Chart 1">
          <a:extLst>
            <a:ext uri="{FF2B5EF4-FFF2-40B4-BE49-F238E27FC236}">
              <a16:creationId xmlns:a16="http://schemas.microsoft.com/office/drawing/2014/main" id="{94088CE7-CC32-1D96-328C-B3509FF00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335280</xdr:colOff>
      <xdr:row>6</xdr:row>
      <xdr:rowOff>45720</xdr:rowOff>
    </xdr:from>
    <xdr:to>
      <xdr:col>8</xdr:col>
      <xdr:colOff>22860</xdr:colOff>
      <xdr:row>18</xdr:row>
      <xdr:rowOff>137160</xdr:rowOff>
    </xdr:to>
    <xdr:graphicFrame macro="">
      <xdr:nvGraphicFramePr>
        <xdr:cNvPr id="2" name="Chart 1">
          <a:extLst>
            <a:ext uri="{FF2B5EF4-FFF2-40B4-BE49-F238E27FC236}">
              <a16:creationId xmlns:a16="http://schemas.microsoft.com/office/drawing/2014/main" id="{146131A0-5036-E579-C412-0F928D42A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365760</xdr:colOff>
      <xdr:row>1</xdr:row>
      <xdr:rowOff>99060</xdr:rowOff>
    </xdr:from>
    <xdr:to>
      <xdr:col>12</xdr:col>
      <xdr:colOff>60960</xdr:colOff>
      <xdr:row>16</xdr:row>
      <xdr:rowOff>99060</xdr:rowOff>
    </xdr:to>
    <xdr:graphicFrame macro="">
      <xdr:nvGraphicFramePr>
        <xdr:cNvPr id="2" name="Chart 1">
          <a:extLst>
            <a:ext uri="{FF2B5EF4-FFF2-40B4-BE49-F238E27FC236}">
              <a16:creationId xmlns:a16="http://schemas.microsoft.com/office/drawing/2014/main" id="{E8B6F751-5B2F-0CB1-7D83-175CA3DC5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506730</xdr:colOff>
      <xdr:row>5</xdr:row>
      <xdr:rowOff>22860</xdr:rowOff>
    </xdr:from>
    <xdr:to>
      <xdr:col>11</xdr:col>
      <xdr:colOff>201930</xdr:colOff>
      <xdr:row>21</xdr:row>
      <xdr:rowOff>45720</xdr:rowOff>
    </xdr:to>
    <xdr:graphicFrame macro="">
      <xdr:nvGraphicFramePr>
        <xdr:cNvPr id="2" name="Chart 1">
          <a:extLst>
            <a:ext uri="{FF2B5EF4-FFF2-40B4-BE49-F238E27FC236}">
              <a16:creationId xmlns:a16="http://schemas.microsoft.com/office/drawing/2014/main" id="{05FA0C5D-C030-91E0-4B43-3398847F7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453390</xdr:colOff>
      <xdr:row>6</xdr:row>
      <xdr:rowOff>45720</xdr:rowOff>
    </xdr:from>
    <xdr:to>
      <xdr:col>11</xdr:col>
      <xdr:colOff>148590</xdr:colOff>
      <xdr:row>21</xdr:row>
      <xdr:rowOff>45720</xdr:rowOff>
    </xdr:to>
    <xdr:graphicFrame macro="">
      <xdr:nvGraphicFramePr>
        <xdr:cNvPr id="2" name="Chart 1">
          <a:extLst>
            <a:ext uri="{FF2B5EF4-FFF2-40B4-BE49-F238E27FC236}">
              <a16:creationId xmlns:a16="http://schemas.microsoft.com/office/drawing/2014/main" id="{7E48024A-0F87-4321-7149-7DB45DE61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411480</xdr:colOff>
      <xdr:row>2</xdr:row>
      <xdr:rowOff>99060</xdr:rowOff>
    </xdr:from>
    <xdr:to>
      <xdr:col>7</xdr:col>
      <xdr:colOff>525780</xdr:colOff>
      <xdr:row>16</xdr:row>
      <xdr:rowOff>15240</xdr:rowOff>
    </xdr:to>
    <xdr:graphicFrame macro="">
      <xdr:nvGraphicFramePr>
        <xdr:cNvPr id="2" name="Chart 1">
          <a:extLst>
            <a:ext uri="{FF2B5EF4-FFF2-40B4-BE49-F238E27FC236}">
              <a16:creationId xmlns:a16="http://schemas.microsoft.com/office/drawing/2014/main" id="{9A373314-0B59-BBBD-1244-D361BAE5E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tin Kheral" refreshedDate="45981.533641550923" createdVersion="8" refreshedVersion="8" minRefreshableVersion="3" recordCount="150" xr:uid="{063FFEB5-13CE-4028-B698-B5D8BEDCE551}">
  <cacheSource type="worksheet">
    <worksheetSource ref="A1:L151" sheet="Winter_Fashion_Trends_Dataset"/>
  </cacheSource>
  <cacheFields count="12">
    <cacheField name="ID" numFmtId="0">
      <sharedItems containsSemiMixedTypes="0" containsString="0" containsNumber="1" containsInteger="1" minValue="1" maxValue="150"/>
    </cacheField>
    <cacheField name="Brand" numFmtId="0">
      <sharedItems count="10">
        <s v="Adidas"/>
        <s v="Gucci"/>
        <s v="H&amp;M"/>
        <s v="North Face"/>
        <s v="Mango"/>
        <s v="Uniqlo"/>
        <s v="Zara"/>
        <s v="Prada"/>
        <s v="Levi's"/>
        <s v="Nike"/>
      </sharedItems>
    </cacheField>
    <cacheField name="Category" numFmtId="0">
      <sharedItems count="10">
        <s v="Gloves"/>
        <s v="Coat"/>
        <s v="Thermal"/>
        <s v="Sweater"/>
        <s v="Scarf"/>
        <s v="Beanie"/>
        <s v="Cardigan"/>
        <s v="Jacket"/>
        <s v="Hoodie"/>
        <s v="Boots"/>
      </sharedItems>
    </cacheField>
    <cacheField name="Color" numFmtId="0">
      <sharedItems count="10">
        <s v="Brown"/>
        <s v="Red"/>
        <s v="Blue"/>
        <s v="Black"/>
        <s v="Gray"/>
        <s v="Cream"/>
        <s v="Maroon"/>
        <s v="Green"/>
        <s v="Beige"/>
        <s v="White"/>
      </sharedItems>
    </cacheField>
    <cacheField name="Material" numFmtId="0">
      <sharedItems/>
    </cacheField>
    <cacheField name="Style" numFmtId="0">
      <sharedItems count="5">
        <s v="Streetwear"/>
        <s v="Sporty"/>
        <s v="Formal"/>
        <s v="Casual"/>
        <s v="Luxury"/>
      </sharedItems>
    </cacheField>
    <cacheField name="Gender" numFmtId="0">
      <sharedItems count="3">
        <s v="Women"/>
        <s v="Men"/>
        <s v="Unisex"/>
      </sharedItems>
    </cacheField>
    <cacheField name="Season" numFmtId="0">
      <sharedItems/>
    </cacheField>
    <cacheField name="Price(USD)" numFmtId="0">
      <sharedItems containsSemiMixedTypes="0" containsString="0" containsNumber="1" minValue="30.07" maxValue="788.03" count="150">
        <n v="244.06"/>
        <n v="366.73"/>
        <n v="741.55"/>
        <n v="116.09"/>
        <n v="193.16"/>
        <n v="699.85"/>
        <n v="497.79"/>
        <n v="579.37"/>
        <n v="315.95999999999998"/>
        <n v="468.58"/>
        <n v="452.18"/>
        <n v="568.66"/>
        <n v="532.16999999999996"/>
        <n v="95.96"/>
        <n v="735.62"/>
        <n v="52.28"/>
        <n v="694.54"/>
        <n v="779.5"/>
        <n v="640.65"/>
        <n v="702.19"/>
        <n v="586.84"/>
        <n v="134.66"/>
        <n v="143.47999999999999"/>
        <n v="359.6"/>
        <n v="657.77"/>
        <n v="628.75"/>
        <n v="146.36000000000001"/>
        <n v="742.55"/>
        <n v="269.24"/>
        <n v="737.02"/>
        <n v="716.93"/>
        <n v="730.08"/>
        <n v="380.94"/>
        <n v="442.34"/>
        <n v="658.41"/>
        <n v="441.74"/>
        <n v="461.34"/>
        <n v="338.89"/>
        <n v="678.23"/>
        <n v="645.24"/>
        <n v="384.3"/>
        <n v="248"/>
        <n v="399.37"/>
        <n v="233.34"/>
        <n v="710.14"/>
        <n v="328.83"/>
        <n v="530.44000000000005"/>
        <n v="118.72"/>
        <n v="77.510000000000005"/>
        <n v="414.74"/>
        <n v="318.42"/>
        <n v="632.30999999999995"/>
        <n v="239.64"/>
        <n v="788.03"/>
        <n v="100.02"/>
        <n v="342.14"/>
        <n v="747.33"/>
        <n v="106.07"/>
        <n v="316.58"/>
        <n v="63.68"/>
        <n v="350.2"/>
        <n v="389.24"/>
        <n v="79.86"/>
        <n v="385.11"/>
        <n v="634.77"/>
        <n v="447.81"/>
        <n v="365.88"/>
        <n v="739.46"/>
        <n v="632.49"/>
        <n v="487.93"/>
        <n v="690.95"/>
        <n v="536.20000000000005"/>
        <n v="499.38"/>
        <n v="771.33"/>
        <n v="575.38"/>
        <n v="629.22"/>
        <n v="81.77"/>
        <n v="351.42"/>
        <n v="331.34"/>
        <n v="407.91"/>
        <n v="30.07"/>
        <n v="210.74"/>
        <n v="198.07"/>
        <n v="435.24"/>
        <n v="752"/>
        <n v="559.9"/>
        <n v="65.260000000000005"/>
        <n v="125.25"/>
        <n v="72.010000000000005"/>
        <n v="632.52"/>
        <n v="532.99"/>
        <n v="705.85"/>
        <n v="677.98"/>
        <n v="321.89999999999998"/>
        <n v="513.28"/>
        <n v="738.25"/>
        <n v="241.85"/>
        <n v="782.43"/>
        <n v="444.81"/>
        <n v="69.14"/>
        <n v="488.02"/>
        <n v="559.21"/>
        <n v="554.73"/>
        <n v="225.28"/>
        <n v="771.22"/>
        <n v="446.46"/>
        <n v="542.66999999999996"/>
        <n v="155.85"/>
        <n v="779.42"/>
        <n v="196.88"/>
        <n v="574.38"/>
        <n v="127.55"/>
        <n v="440.14"/>
        <n v="445.18"/>
        <n v="398.21"/>
        <n v="379.09"/>
        <n v="511"/>
        <n v="604.55999999999995"/>
        <n v="508.61"/>
        <n v="367.56"/>
        <n v="512.29"/>
        <n v="522.28"/>
        <n v="400.19"/>
        <n v="223.88"/>
        <n v="281.5"/>
        <n v="188.42"/>
        <n v="542.58000000000004"/>
        <n v="458.83"/>
        <n v="463.22"/>
        <n v="295.41000000000003"/>
        <n v="377.9"/>
        <n v="381.1"/>
        <n v="585.44000000000005"/>
        <n v="291.94"/>
        <n v="765.47"/>
        <n v="730.82"/>
        <n v="690.75"/>
        <n v="313.17"/>
        <n v="624.26"/>
        <n v="646.41"/>
        <n v="91.32"/>
        <n v="214.48"/>
        <n v="644.97"/>
        <n v="637.55999999999995"/>
        <n v="512.48"/>
        <n v="614.05999999999995"/>
        <n v="329.7"/>
        <n v="411.84"/>
        <n v="407.11"/>
        <n v="256.39"/>
      </sharedItems>
      <fieldGroup base="8">
        <rangePr startNum="30.07" endNum="788.03" groupInterval="200"/>
        <groupItems count="6">
          <s v="&lt;30.07"/>
          <s v="30.07-230.07"/>
          <s v="230.07-430.07"/>
          <s v="430.07-630.07"/>
          <s v="630.07-830.07"/>
          <s v="&gt;830.07"/>
        </groupItems>
      </fieldGroup>
    </cacheField>
    <cacheField name="Popularity_Score" numFmtId="0">
      <sharedItems containsSemiMixedTypes="0" containsString="0" containsNumber="1" minValue="1.1000000000000001" maxValue="10"/>
    </cacheField>
    <cacheField name="Customer_Rating" numFmtId="0">
      <sharedItems containsSemiMixedTypes="0" containsString="0" containsNumber="1" minValue="2.5" maxValue="5"/>
    </cacheField>
    <cacheField name="Trend_Status" numFmtId="0">
      <sharedItems count="4">
        <s v="Trending"/>
        <s v="Outdated"/>
        <s v="Classic"/>
        <s v="Emerging"/>
      </sharedItems>
    </cacheField>
  </cacheFields>
  <extLst>
    <ext xmlns:x14="http://schemas.microsoft.com/office/spreadsheetml/2009/9/main" uri="{725AE2AE-9491-48be-B2B4-4EB974FC3084}">
      <x14:pivotCacheDefinition pivotCacheId="229344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
    <x v="0"/>
    <x v="0"/>
    <x v="0"/>
    <s v="Polyester"/>
    <x v="0"/>
    <x v="0"/>
    <s v="Winter 2025"/>
    <x v="0"/>
    <n v="6"/>
    <n v="4.9000000000000004"/>
    <x v="0"/>
  </r>
  <r>
    <n v="2"/>
    <x v="1"/>
    <x v="0"/>
    <x v="1"/>
    <s v="Leather"/>
    <x v="1"/>
    <x v="1"/>
    <s v="Winter 2023"/>
    <x v="1"/>
    <n v="8.8000000000000007"/>
    <n v="3.3"/>
    <x v="0"/>
  </r>
  <r>
    <n v="3"/>
    <x v="2"/>
    <x v="1"/>
    <x v="0"/>
    <s v="Fleece"/>
    <x v="0"/>
    <x v="2"/>
    <s v="Winter 2025"/>
    <x v="2"/>
    <n v="4.8"/>
    <n v="3.5"/>
    <x v="0"/>
  </r>
  <r>
    <n v="4"/>
    <x v="3"/>
    <x v="1"/>
    <x v="2"/>
    <s v="Cashmere"/>
    <x v="2"/>
    <x v="1"/>
    <s v="Winter 2024"/>
    <x v="3"/>
    <n v="7.5"/>
    <n v="3.1"/>
    <x v="1"/>
  </r>
  <r>
    <n v="5"/>
    <x v="4"/>
    <x v="2"/>
    <x v="2"/>
    <s v="Cashmere"/>
    <x v="2"/>
    <x v="2"/>
    <s v="Winter 2025"/>
    <x v="4"/>
    <n v="7.8"/>
    <n v="4.3"/>
    <x v="1"/>
  </r>
  <r>
    <n v="6"/>
    <x v="5"/>
    <x v="2"/>
    <x v="3"/>
    <s v="Fleece"/>
    <x v="2"/>
    <x v="2"/>
    <s v="Winter 2025"/>
    <x v="5"/>
    <n v="1.7"/>
    <n v="4.2"/>
    <x v="1"/>
  </r>
  <r>
    <n v="7"/>
    <x v="5"/>
    <x v="1"/>
    <x v="4"/>
    <s v="Fleece"/>
    <x v="3"/>
    <x v="1"/>
    <s v="Winter 2025"/>
    <x v="6"/>
    <n v="9.6999999999999993"/>
    <n v="3"/>
    <x v="0"/>
  </r>
  <r>
    <n v="8"/>
    <x v="4"/>
    <x v="3"/>
    <x v="5"/>
    <s v="Cotton"/>
    <x v="0"/>
    <x v="2"/>
    <s v="Winter 2025"/>
    <x v="7"/>
    <n v="6.6"/>
    <n v="3.8"/>
    <x v="1"/>
  </r>
  <r>
    <n v="9"/>
    <x v="1"/>
    <x v="0"/>
    <x v="0"/>
    <s v="Cotton"/>
    <x v="3"/>
    <x v="2"/>
    <s v="Winter 2024"/>
    <x v="8"/>
    <n v="6.2"/>
    <n v="2.8"/>
    <x v="1"/>
  </r>
  <r>
    <n v="10"/>
    <x v="4"/>
    <x v="4"/>
    <x v="6"/>
    <s v="Leather"/>
    <x v="4"/>
    <x v="2"/>
    <s v="Winter 2023"/>
    <x v="9"/>
    <n v="2.5"/>
    <n v="4.9000000000000004"/>
    <x v="2"/>
  </r>
  <r>
    <n v="11"/>
    <x v="1"/>
    <x v="5"/>
    <x v="4"/>
    <s v="Cotton"/>
    <x v="1"/>
    <x v="2"/>
    <s v="Winter 2023"/>
    <x v="10"/>
    <n v="3.3"/>
    <n v="2.6"/>
    <x v="1"/>
  </r>
  <r>
    <n v="12"/>
    <x v="0"/>
    <x v="4"/>
    <x v="7"/>
    <s v="Polyester"/>
    <x v="0"/>
    <x v="0"/>
    <s v="Winter 2024"/>
    <x v="11"/>
    <n v="2.6"/>
    <n v="3.1"/>
    <x v="3"/>
  </r>
  <r>
    <n v="13"/>
    <x v="6"/>
    <x v="6"/>
    <x v="8"/>
    <s v="Cashmere"/>
    <x v="4"/>
    <x v="1"/>
    <s v="Winter 2023"/>
    <x v="12"/>
    <n v="1.2"/>
    <n v="2.5"/>
    <x v="0"/>
  </r>
  <r>
    <n v="14"/>
    <x v="4"/>
    <x v="2"/>
    <x v="8"/>
    <s v="Cashmere"/>
    <x v="0"/>
    <x v="1"/>
    <s v="Winter 2025"/>
    <x v="13"/>
    <n v="2.4"/>
    <n v="3.3"/>
    <x v="2"/>
  </r>
  <r>
    <n v="15"/>
    <x v="5"/>
    <x v="0"/>
    <x v="0"/>
    <s v="Cashmere"/>
    <x v="2"/>
    <x v="2"/>
    <s v="Winter 2025"/>
    <x v="14"/>
    <n v="5.8"/>
    <n v="4"/>
    <x v="2"/>
  </r>
  <r>
    <n v="16"/>
    <x v="5"/>
    <x v="4"/>
    <x v="0"/>
    <s v="Wool"/>
    <x v="2"/>
    <x v="0"/>
    <s v="Winter 2023"/>
    <x v="15"/>
    <n v="3.9"/>
    <n v="3.7"/>
    <x v="2"/>
  </r>
  <r>
    <n v="17"/>
    <x v="2"/>
    <x v="7"/>
    <x v="9"/>
    <s v="Fleece"/>
    <x v="2"/>
    <x v="1"/>
    <s v="Winter 2023"/>
    <x v="16"/>
    <n v="6.2"/>
    <n v="3.1"/>
    <x v="3"/>
  </r>
  <r>
    <n v="18"/>
    <x v="0"/>
    <x v="6"/>
    <x v="9"/>
    <s v="Leather"/>
    <x v="3"/>
    <x v="1"/>
    <s v="Winter 2025"/>
    <x v="17"/>
    <n v="2.5"/>
    <n v="4.3"/>
    <x v="0"/>
  </r>
  <r>
    <n v="19"/>
    <x v="4"/>
    <x v="6"/>
    <x v="4"/>
    <s v="Cashmere"/>
    <x v="4"/>
    <x v="0"/>
    <s v="Winter 2025"/>
    <x v="18"/>
    <n v="8.4"/>
    <n v="4.0999999999999996"/>
    <x v="1"/>
  </r>
  <r>
    <n v="20"/>
    <x v="7"/>
    <x v="3"/>
    <x v="8"/>
    <s v="Wool"/>
    <x v="0"/>
    <x v="0"/>
    <s v="Winter 2024"/>
    <x v="19"/>
    <n v="6.4"/>
    <n v="3.2"/>
    <x v="1"/>
  </r>
  <r>
    <n v="21"/>
    <x v="7"/>
    <x v="1"/>
    <x v="1"/>
    <s v="Fleece"/>
    <x v="2"/>
    <x v="2"/>
    <s v="Winter 2024"/>
    <x v="20"/>
    <n v="6.4"/>
    <n v="4.7"/>
    <x v="3"/>
  </r>
  <r>
    <n v="22"/>
    <x v="1"/>
    <x v="1"/>
    <x v="3"/>
    <s v="Leather"/>
    <x v="0"/>
    <x v="2"/>
    <s v="Winter 2025"/>
    <x v="21"/>
    <n v="4.7"/>
    <n v="3.3"/>
    <x v="1"/>
  </r>
  <r>
    <n v="23"/>
    <x v="3"/>
    <x v="8"/>
    <x v="8"/>
    <s v="Cotton"/>
    <x v="3"/>
    <x v="2"/>
    <s v="Winter 2025"/>
    <x v="22"/>
    <n v="6.5"/>
    <n v="4.5"/>
    <x v="3"/>
  </r>
  <r>
    <n v="24"/>
    <x v="4"/>
    <x v="2"/>
    <x v="4"/>
    <s v="Cotton"/>
    <x v="3"/>
    <x v="2"/>
    <s v="Winter 2023"/>
    <x v="23"/>
    <n v="5.0999999999999996"/>
    <n v="2.9"/>
    <x v="1"/>
  </r>
  <r>
    <n v="25"/>
    <x v="3"/>
    <x v="7"/>
    <x v="0"/>
    <s v="Cashmere"/>
    <x v="1"/>
    <x v="1"/>
    <s v="Winter 2025"/>
    <x v="24"/>
    <n v="4.8"/>
    <n v="4.4000000000000004"/>
    <x v="3"/>
  </r>
  <r>
    <n v="26"/>
    <x v="4"/>
    <x v="3"/>
    <x v="5"/>
    <s v="Polyester"/>
    <x v="1"/>
    <x v="0"/>
    <s v="Winter 2023"/>
    <x v="25"/>
    <n v="9.3000000000000007"/>
    <n v="2.9"/>
    <x v="3"/>
  </r>
  <r>
    <n v="27"/>
    <x v="8"/>
    <x v="4"/>
    <x v="6"/>
    <s v="Polyester"/>
    <x v="4"/>
    <x v="1"/>
    <s v="Winter 2024"/>
    <x v="26"/>
    <n v="2.6"/>
    <n v="3.6"/>
    <x v="1"/>
  </r>
  <r>
    <n v="28"/>
    <x v="0"/>
    <x v="2"/>
    <x v="3"/>
    <s v="Wool"/>
    <x v="3"/>
    <x v="1"/>
    <s v="Winter 2023"/>
    <x v="27"/>
    <n v="9.5"/>
    <n v="3.8"/>
    <x v="0"/>
  </r>
  <r>
    <n v="29"/>
    <x v="7"/>
    <x v="7"/>
    <x v="3"/>
    <s v="Cashmere"/>
    <x v="0"/>
    <x v="2"/>
    <s v="Winter 2023"/>
    <x v="28"/>
    <n v="1.3"/>
    <n v="3.5"/>
    <x v="2"/>
  </r>
  <r>
    <n v="30"/>
    <x v="4"/>
    <x v="8"/>
    <x v="3"/>
    <s v="Down"/>
    <x v="0"/>
    <x v="1"/>
    <s v="Winter 2025"/>
    <x v="29"/>
    <n v="7.7"/>
    <n v="3.5"/>
    <x v="1"/>
  </r>
  <r>
    <n v="31"/>
    <x v="2"/>
    <x v="5"/>
    <x v="8"/>
    <s v="Polyester"/>
    <x v="1"/>
    <x v="1"/>
    <s v="Winter 2025"/>
    <x v="30"/>
    <n v="8.6"/>
    <n v="4.0999999999999996"/>
    <x v="0"/>
  </r>
  <r>
    <n v="32"/>
    <x v="3"/>
    <x v="3"/>
    <x v="3"/>
    <s v="Cashmere"/>
    <x v="1"/>
    <x v="1"/>
    <s v="Winter 2024"/>
    <x v="31"/>
    <n v="6"/>
    <n v="3.4"/>
    <x v="3"/>
  </r>
  <r>
    <n v="33"/>
    <x v="3"/>
    <x v="4"/>
    <x v="1"/>
    <s v="Fleece"/>
    <x v="3"/>
    <x v="2"/>
    <s v="Winter 2025"/>
    <x v="32"/>
    <n v="9"/>
    <n v="4.4000000000000004"/>
    <x v="3"/>
  </r>
  <r>
    <n v="34"/>
    <x v="7"/>
    <x v="2"/>
    <x v="1"/>
    <s v="Wool"/>
    <x v="0"/>
    <x v="1"/>
    <s v="Winter 2025"/>
    <x v="33"/>
    <n v="8.5"/>
    <n v="3"/>
    <x v="3"/>
  </r>
  <r>
    <n v="35"/>
    <x v="3"/>
    <x v="8"/>
    <x v="4"/>
    <s v="Cotton"/>
    <x v="1"/>
    <x v="0"/>
    <s v="Winter 2024"/>
    <x v="34"/>
    <n v="1.3"/>
    <n v="4.0999999999999996"/>
    <x v="2"/>
  </r>
  <r>
    <n v="36"/>
    <x v="4"/>
    <x v="2"/>
    <x v="2"/>
    <s v="Polyester"/>
    <x v="2"/>
    <x v="0"/>
    <s v="Winter 2025"/>
    <x v="35"/>
    <n v="2.7"/>
    <n v="4.8"/>
    <x v="2"/>
  </r>
  <r>
    <n v="37"/>
    <x v="1"/>
    <x v="4"/>
    <x v="5"/>
    <s v="Fleece"/>
    <x v="2"/>
    <x v="1"/>
    <s v="Winter 2024"/>
    <x v="36"/>
    <n v="3"/>
    <n v="2.9"/>
    <x v="2"/>
  </r>
  <r>
    <n v="38"/>
    <x v="4"/>
    <x v="3"/>
    <x v="4"/>
    <s v="Cashmere"/>
    <x v="0"/>
    <x v="1"/>
    <s v="Winter 2024"/>
    <x v="37"/>
    <n v="7.9"/>
    <n v="3"/>
    <x v="2"/>
  </r>
  <r>
    <n v="39"/>
    <x v="1"/>
    <x v="4"/>
    <x v="0"/>
    <s v="Down"/>
    <x v="4"/>
    <x v="2"/>
    <s v="Winter 2023"/>
    <x v="38"/>
    <n v="6.6"/>
    <n v="4.3"/>
    <x v="1"/>
  </r>
  <r>
    <n v="40"/>
    <x v="1"/>
    <x v="5"/>
    <x v="9"/>
    <s v="Down"/>
    <x v="4"/>
    <x v="0"/>
    <s v="Winter 2025"/>
    <x v="39"/>
    <n v="8"/>
    <n v="4.7"/>
    <x v="2"/>
  </r>
  <r>
    <n v="41"/>
    <x v="6"/>
    <x v="6"/>
    <x v="5"/>
    <s v="Cotton"/>
    <x v="0"/>
    <x v="1"/>
    <s v="Winter 2024"/>
    <x v="40"/>
    <n v="4.9000000000000004"/>
    <n v="3.5"/>
    <x v="3"/>
  </r>
  <r>
    <n v="42"/>
    <x v="3"/>
    <x v="8"/>
    <x v="4"/>
    <s v="Fleece"/>
    <x v="4"/>
    <x v="0"/>
    <s v="Winter 2024"/>
    <x v="41"/>
    <n v="8.6"/>
    <n v="2.8"/>
    <x v="2"/>
  </r>
  <r>
    <n v="43"/>
    <x v="6"/>
    <x v="5"/>
    <x v="2"/>
    <s v="Leather"/>
    <x v="1"/>
    <x v="0"/>
    <s v="Winter 2023"/>
    <x v="42"/>
    <n v="9.1999999999999993"/>
    <n v="3.8"/>
    <x v="2"/>
  </r>
  <r>
    <n v="44"/>
    <x v="1"/>
    <x v="3"/>
    <x v="8"/>
    <s v="Cashmere"/>
    <x v="0"/>
    <x v="0"/>
    <s v="Winter 2024"/>
    <x v="43"/>
    <n v="3"/>
    <n v="4.4000000000000004"/>
    <x v="0"/>
  </r>
  <r>
    <n v="45"/>
    <x v="9"/>
    <x v="5"/>
    <x v="2"/>
    <s v="Wool"/>
    <x v="1"/>
    <x v="0"/>
    <s v="Winter 2023"/>
    <x v="44"/>
    <n v="4"/>
    <n v="4.5"/>
    <x v="1"/>
  </r>
  <r>
    <n v="46"/>
    <x v="2"/>
    <x v="3"/>
    <x v="4"/>
    <s v="Leather"/>
    <x v="0"/>
    <x v="2"/>
    <s v="Winter 2025"/>
    <x v="45"/>
    <n v="7"/>
    <n v="4.5999999999999996"/>
    <x v="0"/>
  </r>
  <r>
    <n v="47"/>
    <x v="1"/>
    <x v="2"/>
    <x v="6"/>
    <s v="Cotton"/>
    <x v="4"/>
    <x v="2"/>
    <s v="Winter 2024"/>
    <x v="46"/>
    <n v="3.7"/>
    <n v="3.3"/>
    <x v="2"/>
  </r>
  <r>
    <n v="48"/>
    <x v="6"/>
    <x v="5"/>
    <x v="0"/>
    <s v="Fleece"/>
    <x v="1"/>
    <x v="1"/>
    <s v="Winter 2023"/>
    <x v="47"/>
    <n v="9.3000000000000007"/>
    <n v="2.8"/>
    <x v="3"/>
  </r>
  <r>
    <n v="49"/>
    <x v="9"/>
    <x v="0"/>
    <x v="0"/>
    <s v="Cotton"/>
    <x v="3"/>
    <x v="0"/>
    <s v="Winter 2023"/>
    <x v="48"/>
    <n v="6.9"/>
    <n v="3.4"/>
    <x v="0"/>
  </r>
  <r>
    <n v="50"/>
    <x v="9"/>
    <x v="9"/>
    <x v="2"/>
    <s v="Cashmere"/>
    <x v="1"/>
    <x v="2"/>
    <s v="Winter 2023"/>
    <x v="49"/>
    <n v="9.4"/>
    <n v="3"/>
    <x v="0"/>
  </r>
  <r>
    <n v="51"/>
    <x v="6"/>
    <x v="0"/>
    <x v="3"/>
    <s v="Down"/>
    <x v="3"/>
    <x v="2"/>
    <s v="Winter 2024"/>
    <x v="50"/>
    <n v="9.4"/>
    <n v="4.7"/>
    <x v="1"/>
  </r>
  <r>
    <n v="52"/>
    <x v="2"/>
    <x v="8"/>
    <x v="8"/>
    <s v="Leather"/>
    <x v="2"/>
    <x v="2"/>
    <s v="Winter 2025"/>
    <x v="51"/>
    <n v="8.4"/>
    <n v="4.7"/>
    <x v="0"/>
  </r>
  <r>
    <n v="53"/>
    <x v="9"/>
    <x v="4"/>
    <x v="2"/>
    <s v="Wool"/>
    <x v="4"/>
    <x v="1"/>
    <s v="Winter 2025"/>
    <x v="52"/>
    <n v="2.4"/>
    <n v="3"/>
    <x v="0"/>
  </r>
  <r>
    <n v="54"/>
    <x v="7"/>
    <x v="1"/>
    <x v="3"/>
    <s v="Wool"/>
    <x v="2"/>
    <x v="1"/>
    <s v="Winter 2024"/>
    <x v="53"/>
    <n v="6.1"/>
    <n v="3.2"/>
    <x v="3"/>
  </r>
  <r>
    <n v="55"/>
    <x v="3"/>
    <x v="3"/>
    <x v="3"/>
    <s v="Wool"/>
    <x v="4"/>
    <x v="1"/>
    <s v="Winter 2025"/>
    <x v="54"/>
    <n v="3.1"/>
    <n v="4.4000000000000004"/>
    <x v="1"/>
  </r>
  <r>
    <n v="56"/>
    <x v="7"/>
    <x v="9"/>
    <x v="8"/>
    <s v="Cotton"/>
    <x v="2"/>
    <x v="1"/>
    <s v="Winter 2023"/>
    <x v="55"/>
    <n v="5.2"/>
    <n v="2.8"/>
    <x v="1"/>
  </r>
  <r>
    <n v="57"/>
    <x v="5"/>
    <x v="1"/>
    <x v="3"/>
    <s v="Leather"/>
    <x v="1"/>
    <x v="0"/>
    <s v="Winter 2023"/>
    <x v="56"/>
    <n v="1.8"/>
    <n v="5"/>
    <x v="0"/>
  </r>
  <r>
    <n v="58"/>
    <x v="7"/>
    <x v="7"/>
    <x v="7"/>
    <s v="Cotton"/>
    <x v="0"/>
    <x v="2"/>
    <s v="Winter 2024"/>
    <x v="57"/>
    <n v="3.7"/>
    <n v="4.0999999999999996"/>
    <x v="0"/>
  </r>
  <r>
    <n v="59"/>
    <x v="3"/>
    <x v="6"/>
    <x v="8"/>
    <s v="Polyester"/>
    <x v="4"/>
    <x v="1"/>
    <s v="Winter 2024"/>
    <x v="58"/>
    <n v="4.9000000000000004"/>
    <n v="2.6"/>
    <x v="0"/>
  </r>
  <r>
    <n v="60"/>
    <x v="6"/>
    <x v="7"/>
    <x v="7"/>
    <s v="Cashmere"/>
    <x v="1"/>
    <x v="2"/>
    <s v="Winter 2023"/>
    <x v="59"/>
    <n v="9.6999999999999993"/>
    <n v="4.4000000000000004"/>
    <x v="0"/>
  </r>
  <r>
    <n v="61"/>
    <x v="4"/>
    <x v="2"/>
    <x v="1"/>
    <s v="Cashmere"/>
    <x v="1"/>
    <x v="2"/>
    <s v="Winter 2025"/>
    <x v="60"/>
    <n v="7.8"/>
    <n v="3.8"/>
    <x v="1"/>
  </r>
  <r>
    <n v="62"/>
    <x v="2"/>
    <x v="2"/>
    <x v="4"/>
    <s v="Polyester"/>
    <x v="1"/>
    <x v="2"/>
    <s v="Winter 2023"/>
    <x v="61"/>
    <n v="6.4"/>
    <n v="4.7"/>
    <x v="1"/>
  </r>
  <r>
    <n v="63"/>
    <x v="7"/>
    <x v="6"/>
    <x v="3"/>
    <s v="Wool"/>
    <x v="3"/>
    <x v="0"/>
    <s v="Winter 2025"/>
    <x v="62"/>
    <n v="2.6"/>
    <n v="4.5"/>
    <x v="3"/>
  </r>
  <r>
    <n v="64"/>
    <x v="9"/>
    <x v="9"/>
    <x v="1"/>
    <s v="Down"/>
    <x v="0"/>
    <x v="2"/>
    <s v="Winter 2024"/>
    <x v="63"/>
    <n v="3.2"/>
    <n v="2.6"/>
    <x v="3"/>
  </r>
  <r>
    <n v="65"/>
    <x v="7"/>
    <x v="7"/>
    <x v="5"/>
    <s v="Leather"/>
    <x v="2"/>
    <x v="2"/>
    <s v="Winter 2024"/>
    <x v="64"/>
    <n v="2.6"/>
    <n v="4.8"/>
    <x v="3"/>
  </r>
  <r>
    <n v="66"/>
    <x v="4"/>
    <x v="9"/>
    <x v="9"/>
    <s v="Cotton"/>
    <x v="1"/>
    <x v="0"/>
    <s v="Winter 2025"/>
    <x v="65"/>
    <n v="4.3"/>
    <n v="3.9"/>
    <x v="1"/>
  </r>
  <r>
    <n v="67"/>
    <x v="3"/>
    <x v="7"/>
    <x v="9"/>
    <s v="Down"/>
    <x v="0"/>
    <x v="1"/>
    <s v="Winter 2023"/>
    <x v="66"/>
    <n v="9"/>
    <n v="4"/>
    <x v="0"/>
  </r>
  <r>
    <n v="68"/>
    <x v="6"/>
    <x v="0"/>
    <x v="8"/>
    <s v="Fleece"/>
    <x v="1"/>
    <x v="1"/>
    <s v="Winter 2025"/>
    <x v="67"/>
    <n v="1.3"/>
    <n v="2.8"/>
    <x v="1"/>
  </r>
  <r>
    <n v="69"/>
    <x v="5"/>
    <x v="8"/>
    <x v="5"/>
    <s v="Down"/>
    <x v="3"/>
    <x v="0"/>
    <s v="Winter 2023"/>
    <x v="68"/>
    <n v="8.3000000000000007"/>
    <n v="3.9"/>
    <x v="1"/>
  </r>
  <r>
    <n v="70"/>
    <x v="4"/>
    <x v="4"/>
    <x v="5"/>
    <s v="Cashmere"/>
    <x v="2"/>
    <x v="0"/>
    <s v="Winter 2023"/>
    <x v="69"/>
    <n v="9.8000000000000007"/>
    <n v="3.5"/>
    <x v="0"/>
  </r>
  <r>
    <n v="71"/>
    <x v="4"/>
    <x v="9"/>
    <x v="5"/>
    <s v="Leather"/>
    <x v="3"/>
    <x v="1"/>
    <s v="Winter 2024"/>
    <x v="70"/>
    <n v="7.3"/>
    <n v="4"/>
    <x v="0"/>
  </r>
  <r>
    <n v="72"/>
    <x v="3"/>
    <x v="6"/>
    <x v="1"/>
    <s v="Leather"/>
    <x v="1"/>
    <x v="0"/>
    <s v="Winter 2023"/>
    <x v="71"/>
    <n v="1.5"/>
    <n v="3.4"/>
    <x v="2"/>
  </r>
  <r>
    <n v="73"/>
    <x v="7"/>
    <x v="7"/>
    <x v="6"/>
    <s v="Polyester"/>
    <x v="1"/>
    <x v="0"/>
    <s v="Winter 2025"/>
    <x v="72"/>
    <n v="3.4"/>
    <n v="4.5999999999999996"/>
    <x v="0"/>
  </r>
  <r>
    <n v="74"/>
    <x v="0"/>
    <x v="6"/>
    <x v="7"/>
    <s v="Polyester"/>
    <x v="0"/>
    <x v="2"/>
    <s v="Winter 2025"/>
    <x v="73"/>
    <n v="5.4"/>
    <n v="3.6"/>
    <x v="3"/>
  </r>
  <r>
    <n v="75"/>
    <x v="2"/>
    <x v="5"/>
    <x v="8"/>
    <s v="Cotton"/>
    <x v="0"/>
    <x v="0"/>
    <s v="Winter 2025"/>
    <x v="74"/>
    <n v="5"/>
    <n v="4.4000000000000004"/>
    <x v="0"/>
  </r>
  <r>
    <n v="76"/>
    <x v="5"/>
    <x v="5"/>
    <x v="4"/>
    <s v="Cashmere"/>
    <x v="1"/>
    <x v="0"/>
    <s v="Winter 2024"/>
    <x v="75"/>
    <n v="1.1000000000000001"/>
    <n v="5"/>
    <x v="1"/>
  </r>
  <r>
    <n v="77"/>
    <x v="9"/>
    <x v="9"/>
    <x v="7"/>
    <s v="Cashmere"/>
    <x v="0"/>
    <x v="1"/>
    <s v="Winter 2024"/>
    <x v="76"/>
    <n v="7.3"/>
    <n v="3.7"/>
    <x v="3"/>
  </r>
  <r>
    <n v="78"/>
    <x v="3"/>
    <x v="1"/>
    <x v="4"/>
    <s v="Leather"/>
    <x v="0"/>
    <x v="2"/>
    <s v="Winter 2024"/>
    <x v="77"/>
    <n v="9.9"/>
    <n v="3.6"/>
    <x v="1"/>
  </r>
  <r>
    <n v="79"/>
    <x v="2"/>
    <x v="0"/>
    <x v="9"/>
    <s v="Cotton"/>
    <x v="4"/>
    <x v="2"/>
    <s v="Winter 2024"/>
    <x v="78"/>
    <n v="9.1"/>
    <n v="4.0999999999999996"/>
    <x v="0"/>
  </r>
  <r>
    <n v="80"/>
    <x v="2"/>
    <x v="0"/>
    <x v="9"/>
    <s v="Cotton"/>
    <x v="4"/>
    <x v="0"/>
    <s v="Winter 2023"/>
    <x v="79"/>
    <n v="1.3"/>
    <n v="3.3"/>
    <x v="0"/>
  </r>
  <r>
    <n v="81"/>
    <x v="4"/>
    <x v="0"/>
    <x v="8"/>
    <s v="Polyester"/>
    <x v="1"/>
    <x v="1"/>
    <s v="Winter 2024"/>
    <x v="80"/>
    <n v="4.9000000000000004"/>
    <n v="2.7"/>
    <x v="1"/>
  </r>
  <r>
    <n v="82"/>
    <x v="8"/>
    <x v="6"/>
    <x v="1"/>
    <s v="Cashmere"/>
    <x v="0"/>
    <x v="2"/>
    <s v="Winter 2023"/>
    <x v="81"/>
    <n v="9.6"/>
    <n v="3.8"/>
    <x v="2"/>
  </r>
  <r>
    <n v="83"/>
    <x v="5"/>
    <x v="4"/>
    <x v="7"/>
    <s v="Down"/>
    <x v="0"/>
    <x v="0"/>
    <s v="Winter 2025"/>
    <x v="82"/>
    <n v="4.3"/>
    <n v="4.0999999999999996"/>
    <x v="0"/>
  </r>
  <r>
    <n v="84"/>
    <x v="9"/>
    <x v="6"/>
    <x v="1"/>
    <s v="Cotton"/>
    <x v="0"/>
    <x v="2"/>
    <s v="Winter 2024"/>
    <x v="83"/>
    <n v="7.7"/>
    <n v="3.5"/>
    <x v="1"/>
  </r>
  <r>
    <n v="85"/>
    <x v="7"/>
    <x v="4"/>
    <x v="7"/>
    <s v="Fleece"/>
    <x v="1"/>
    <x v="2"/>
    <s v="Winter 2023"/>
    <x v="84"/>
    <n v="3.8"/>
    <n v="5"/>
    <x v="0"/>
  </r>
  <r>
    <n v="86"/>
    <x v="4"/>
    <x v="3"/>
    <x v="9"/>
    <s v="Down"/>
    <x v="2"/>
    <x v="2"/>
    <s v="Winter 2024"/>
    <x v="85"/>
    <n v="9.5"/>
    <n v="4.9000000000000004"/>
    <x v="0"/>
  </r>
  <r>
    <n v="87"/>
    <x v="2"/>
    <x v="3"/>
    <x v="3"/>
    <s v="Fleece"/>
    <x v="3"/>
    <x v="0"/>
    <s v="Winter 2024"/>
    <x v="86"/>
    <n v="6.7"/>
    <n v="3.3"/>
    <x v="1"/>
  </r>
  <r>
    <n v="88"/>
    <x v="3"/>
    <x v="2"/>
    <x v="9"/>
    <s v="Cotton"/>
    <x v="3"/>
    <x v="2"/>
    <s v="Winter 2023"/>
    <x v="87"/>
    <n v="4"/>
    <n v="4.4000000000000004"/>
    <x v="3"/>
  </r>
  <r>
    <n v="89"/>
    <x v="6"/>
    <x v="5"/>
    <x v="0"/>
    <s v="Polyester"/>
    <x v="4"/>
    <x v="0"/>
    <s v="Winter 2024"/>
    <x v="88"/>
    <n v="6.8"/>
    <n v="3.7"/>
    <x v="0"/>
  </r>
  <r>
    <n v="90"/>
    <x v="1"/>
    <x v="3"/>
    <x v="3"/>
    <s v="Polyester"/>
    <x v="1"/>
    <x v="0"/>
    <s v="Winter 2025"/>
    <x v="89"/>
    <n v="9"/>
    <n v="4.8"/>
    <x v="3"/>
  </r>
  <r>
    <n v="91"/>
    <x v="4"/>
    <x v="1"/>
    <x v="8"/>
    <s v="Wool"/>
    <x v="2"/>
    <x v="2"/>
    <s v="Winter 2023"/>
    <x v="90"/>
    <n v="9.4"/>
    <n v="3.1"/>
    <x v="3"/>
  </r>
  <r>
    <n v="92"/>
    <x v="9"/>
    <x v="8"/>
    <x v="3"/>
    <s v="Fleece"/>
    <x v="4"/>
    <x v="0"/>
    <s v="Winter 2024"/>
    <x v="91"/>
    <n v="1.8"/>
    <n v="3.7"/>
    <x v="0"/>
  </r>
  <r>
    <n v="93"/>
    <x v="5"/>
    <x v="0"/>
    <x v="0"/>
    <s v="Cashmere"/>
    <x v="4"/>
    <x v="0"/>
    <s v="Winter 2023"/>
    <x v="92"/>
    <n v="1.4"/>
    <n v="4.8"/>
    <x v="2"/>
  </r>
  <r>
    <n v="94"/>
    <x v="4"/>
    <x v="4"/>
    <x v="5"/>
    <s v="Fleece"/>
    <x v="2"/>
    <x v="1"/>
    <s v="Winter 2024"/>
    <x v="93"/>
    <n v="6.5"/>
    <n v="4"/>
    <x v="1"/>
  </r>
  <r>
    <n v="95"/>
    <x v="1"/>
    <x v="8"/>
    <x v="5"/>
    <s v="Cashmere"/>
    <x v="2"/>
    <x v="1"/>
    <s v="Winter 2025"/>
    <x v="94"/>
    <n v="2.7"/>
    <n v="3.1"/>
    <x v="3"/>
  </r>
  <r>
    <n v="96"/>
    <x v="5"/>
    <x v="4"/>
    <x v="5"/>
    <s v="Cotton"/>
    <x v="4"/>
    <x v="0"/>
    <s v="Winter 2025"/>
    <x v="95"/>
    <n v="3.3"/>
    <n v="3.5"/>
    <x v="0"/>
  </r>
  <r>
    <n v="97"/>
    <x v="8"/>
    <x v="3"/>
    <x v="0"/>
    <s v="Down"/>
    <x v="0"/>
    <x v="0"/>
    <s v="Winter 2023"/>
    <x v="96"/>
    <n v="6.1"/>
    <n v="3"/>
    <x v="2"/>
  </r>
  <r>
    <n v="98"/>
    <x v="9"/>
    <x v="4"/>
    <x v="0"/>
    <s v="Leather"/>
    <x v="0"/>
    <x v="0"/>
    <s v="Winter 2024"/>
    <x v="97"/>
    <n v="8.3000000000000007"/>
    <n v="2.8"/>
    <x v="1"/>
  </r>
  <r>
    <n v="99"/>
    <x v="6"/>
    <x v="2"/>
    <x v="8"/>
    <s v="Wool"/>
    <x v="2"/>
    <x v="2"/>
    <s v="Winter 2024"/>
    <x v="98"/>
    <n v="7.7"/>
    <n v="3.2"/>
    <x v="3"/>
  </r>
  <r>
    <n v="100"/>
    <x v="3"/>
    <x v="2"/>
    <x v="6"/>
    <s v="Down"/>
    <x v="3"/>
    <x v="0"/>
    <s v="Winter 2023"/>
    <x v="99"/>
    <n v="4.0999999999999996"/>
    <n v="4.9000000000000004"/>
    <x v="3"/>
  </r>
  <r>
    <n v="101"/>
    <x v="4"/>
    <x v="0"/>
    <x v="0"/>
    <s v="Fleece"/>
    <x v="0"/>
    <x v="2"/>
    <s v="Winter 2023"/>
    <x v="100"/>
    <n v="9.8000000000000007"/>
    <n v="2.6"/>
    <x v="2"/>
  </r>
  <r>
    <n v="102"/>
    <x v="6"/>
    <x v="0"/>
    <x v="9"/>
    <s v="Cotton"/>
    <x v="4"/>
    <x v="0"/>
    <s v="Winter 2024"/>
    <x v="101"/>
    <n v="6.2"/>
    <n v="4.8"/>
    <x v="0"/>
  </r>
  <r>
    <n v="103"/>
    <x v="4"/>
    <x v="6"/>
    <x v="1"/>
    <s v="Cotton"/>
    <x v="2"/>
    <x v="0"/>
    <s v="Winter 2024"/>
    <x v="102"/>
    <n v="5.7"/>
    <n v="4.7"/>
    <x v="1"/>
  </r>
  <r>
    <n v="104"/>
    <x v="4"/>
    <x v="8"/>
    <x v="2"/>
    <s v="Fleece"/>
    <x v="4"/>
    <x v="0"/>
    <s v="Winter 2024"/>
    <x v="103"/>
    <n v="2.2000000000000002"/>
    <n v="3.7"/>
    <x v="2"/>
  </r>
  <r>
    <n v="105"/>
    <x v="0"/>
    <x v="7"/>
    <x v="8"/>
    <s v="Fleece"/>
    <x v="4"/>
    <x v="0"/>
    <s v="Winter 2024"/>
    <x v="104"/>
    <n v="9.1999999999999993"/>
    <n v="4.3"/>
    <x v="1"/>
  </r>
  <r>
    <n v="106"/>
    <x v="6"/>
    <x v="4"/>
    <x v="9"/>
    <s v="Polyester"/>
    <x v="0"/>
    <x v="2"/>
    <s v="Winter 2023"/>
    <x v="105"/>
    <n v="10"/>
    <n v="2.7"/>
    <x v="1"/>
  </r>
  <r>
    <n v="107"/>
    <x v="8"/>
    <x v="2"/>
    <x v="6"/>
    <s v="Leather"/>
    <x v="4"/>
    <x v="1"/>
    <s v="Winter 2025"/>
    <x v="106"/>
    <n v="5.9"/>
    <n v="2.6"/>
    <x v="2"/>
  </r>
  <r>
    <n v="108"/>
    <x v="9"/>
    <x v="5"/>
    <x v="5"/>
    <s v="Down"/>
    <x v="1"/>
    <x v="0"/>
    <s v="Winter 2025"/>
    <x v="107"/>
    <n v="9.4"/>
    <n v="3"/>
    <x v="1"/>
  </r>
  <r>
    <n v="109"/>
    <x v="6"/>
    <x v="7"/>
    <x v="6"/>
    <s v="Leather"/>
    <x v="4"/>
    <x v="1"/>
    <s v="Winter 2025"/>
    <x v="108"/>
    <n v="4.5"/>
    <n v="4.8"/>
    <x v="0"/>
  </r>
  <r>
    <n v="110"/>
    <x v="5"/>
    <x v="7"/>
    <x v="4"/>
    <s v="Fleece"/>
    <x v="2"/>
    <x v="0"/>
    <s v="Winter 2024"/>
    <x v="109"/>
    <n v="3.1"/>
    <n v="3.6"/>
    <x v="2"/>
  </r>
  <r>
    <n v="111"/>
    <x v="3"/>
    <x v="9"/>
    <x v="0"/>
    <s v="Cotton"/>
    <x v="1"/>
    <x v="2"/>
    <s v="Winter 2025"/>
    <x v="110"/>
    <n v="5.4"/>
    <n v="2.7"/>
    <x v="3"/>
  </r>
  <r>
    <n v="112"/>
    <x v="7"/>
    <x v="4"/>
    <x v="6"/>
    <s v="Fleece"/>
    <x v="0"/>
    <x v="0"/>
    <s v="Winter 2025"/>
    <x v="111"/>
    <n v="4.5"/>
    <n v="4.4000000000000004"/>
    <x v="1"/>
  </r>
  <r>
    <n v="113"/>
    <x v="1"/>
    <x v="4"/>
    <x v="8"/>
    <s v="Cotton"/>
    <x v="4"/>
    <x v="1"/>
    <s v="Winter 2025"/>
    <x v="112"/>
    <n v="7.4"/>
    <n v="4.5999999999999996"/>
    <x v="1"/>
  </r>
  <r>
    <n v="114"/>
    <x v="3"/>
    <x v="1"/>
    <x v="4"/>
    <s v="Fleece"/>
    <x v="2"/>
    <x v="1"/>
    <s v="Winter 2024"/>
    <x v="113"/>
    <n v="7.8"/>
    <n v="4"/>
    <x v="1"/>
  </r>
  <r>
    <n v="115"/>
    <x v="7"/>
    <x v="0"/>
    <x v="8"/>
    <s v="Polyester"/>
    <x v="4"/>
    <x v="0"/>
    <s v="Winter 2025"/>
    <x v="114"/>
    <n v="3.3"/>
    <n v="4.9000000000000004"/>
    <x v="0"/>
  </r>
  <r>
    <n v="116"/>
    <x v="2"/>
    <x v="5"/>
    <x v="0"/>
    <s v="Fleece"/>
    <x v="2"/>
    <x v="1"/>
    <s v="Winter 2023"/>
    <x v="115"/>
    <n v="3.4"/>
    <n v="4.4000000000000004"/>
    <x v="0"/>
  </r>
  <r>
    <n v="117"/>
    <x v="0"/>
    <x v="2"/>
    <x v="8"/>
    <s v="Fleece"/>
    <x v="2"/>
    <x v="1"/>
    <s v="Winter 2025"/>
    <x v="116"/>
    <n v="5.5"/>
    <n v="3.7"/>
    <x v="1"/>
  </r>
  <r>
    <n v="118"/>
    <x v="5"/>
    <x v="7"/>
    <x v="1"/>
    <s v="Down"/>
    <x v="2"/>
    <x v="0"/>
    <s v="Winter 2025"/>
    <x v="117"/>
    <n v="4.5999999999999996"/>
    <n v="3.9"/>
    <x v="0"/>
  </r>
  <r>
    <n v="119"/>
    <x v="0"/>
    <x v="4"/>
    <x v="7"/>
    <s v="Cotton"/>
    <x v="3"/>
    <x v="1"/>
    <s v="Winter 2024"/>
    <x v="118"/>
    <n v="9"/>
    <n v="4.3"/>
    <x v="3"/>
  </r>
  <r>
    <n v="120"/>
    <x v="9"/>
    <x v="3"/>
    <x v="9"/>
    <s v="Fleece"/>
    <x v="4"/>
    <x v="1"/>
    <s v="Winter 2023"/>
    <x v="119"/>
    <n v="8.9"/>
    <n v="4.9000000000000004"/>
    <x v="2"/>
  </r>
  <r>
    <n v="121"/>
    <x v="3"/>
    <x v="1"/>
    <x v="6"/>
    <s v="Cotton"/>
    <x v="0"/>
    <x v="1"/>
    <s v="Winter 2025"/>
    <x v="120"/>
    <n v="6.3"/>
    <n v="2.8"/>
    <x v="2"/>
  </r>
  <r>
    <n v="122"/>
    <x v="4"/>
    <x v="9"/>
    <x v="3"/>
    <s v="Leather"/>
    <x v="2"/>
    <x v="2"/>
    <s v="Winter 2025"/>
    <x v="121"/>
    <n v="8.5"/>
    <n v="4.2"/>
    <x v="1"/>
  </r>
  <r>
    <n v="123"/>
    <x v="4"/>
    <x v="4"/>
    <x v="7"/>
    <s v="Fleece"/>
    <x v="4"/>
    <x v="2"/>
    <s v="Winter 2025"/>
    <x v="122"/>
    <n v="6.6"/>
    <n v="2.7"/>
    <x v="3"/>
  </r>
  <r>
    <n v="124"/>
    <x v="7"/>
    <x v="2"/>
    <x v="3"/>
    <s v="Cotton"/>
    <x v="2"/>
    <x v="2"/>
    <s v="Winter 2024"/>
    <x v="123"/>
    <n v="4.5999999999999996"/>
    <n v="3"/>
    <x v="3"/>
  </r>
  <r>
    <n v="125"/>
    <x v="3"/>
    <x v="0"/>
    <x v="0"/>
    <s v="Leather"/>
    <x v="0"/>
    <x v="0"/>
    <s v="Winter 2024"/>
    <x v="124"/>
    <n v="6"/>
    <n v="4.2"/>
    <x v="2"/>
  </r>
  <r>
    <n v="126"/>
    <x v="9"/>
    <x v="3"/>
    <x v="3"/>
    <s v="Polyester"/>
    <x v="4"/>
    <x v="1"/>
    <s v="Winter 2024"/>
    <x v="125"/>
    <n v="5.4"/>
    <n v="4.4000000000000004"/>
    <x v="2"/>
  </r>
  <r>
    <n v="127"/>
    <x v="0"/>
    <x v="0"/>
    <x v="8"/>
    <s v="Leather"/>
    <x v="1"/>
    <x v="2"/>
    <s v="Winter 2024"/>
    <x v="126"/>
    <n v="9.4"/>
    <n v="3.7"/>
    <x v="0"/>
  </r>
  <r>
    <n v="128"/>
    <x v="3"/>
    <x v="2"/>
    <x v="3"/>
    <s v="Leather"/>
    <x v="4"/>
    <x v="0"/>
    <s v="Winter 2023"/>
    <x v="127"/>
    <n v="1.4"/>
    <n v="4.2"/>
    <x v="1"/>
  </r>
  <r>
    <n v="129"/>
    <x v="2"/>
    <x v="8"/>
    <x v="8"/>
    <s v="Cashmere"/>
    <x v="3"/>
    <x v="0"/>
    <s v="Winter 2025"/>
    <x v="128"/>
    <n v="1.9"/>
    <n v="3.9"/>
    <x v="3"/>
  </r>
  <r>
    <n v="130"/>
    <x v="4"/>
    <x v="9"/>
    <x v="6"/>
    <s v="Polyester"/>
    <x v="4"/>
    <x v="1"/>
    <s v="Winter 2025"/>
    <x v="129"/>
    <n v="7.6"/>
    <n v="3.8"/>
    <x v="2"/>
  </r>
  <r>
    <n v="131"/>
    <x v="6"/>
    <x v="1"/>
    <x v="1"/>
    <s v="Cotton"/>
    <x v="3"/>
    <x v="2"/>
    <s v="Winter 2024"/>
    <x v="130"/>
    <n v="4.0999999999999996"/>
    <n v="4.5999999999999996"/>
    <x v="1"/>
  </r>
  <r>
    <n v="132"/>
    <x v="5"/>
    <x v="2"/>
    <x v="2"/>
    <s v="Fleece"/>
    <x v="1"/>
    <x v="2"/>
    <s v="Winter 2023"/>
    <x v="131"/>
    <n v="6.6"/>
    <n v="4.9000000000000004"/>
    <x v="1"/>
  </r>
  <r>
    <n v="133"/>
    <x v="8"/>
    <x v="3"/>
    <x v="8"/>
    <s v="Down"/>
    <x v="2"/>
    <x v="1"/>
    <s v="Winter 2025"/>
    <x v="132"/>
    <n v="2"/>
    <n v="3.1"/>
    <x v="0"/>
  </r>
  <r>
    <n v="134"/>
    <x v="3"/>
    <x v="9"/>
    <x v="3"/>
    <s v="Cotton"/>
    <x v="2"/>
    <x v="2"/>
    <s v="Winter 2025"/>
    <x v="133"/>
    <n v="10"/>
    <n v="2.7"/>
    <x v="1"/>
  </r>
  <r>
    <n v="135"/>
    <x v="1"/>
    <x v="4"/>
    <x v="8"/>
    <s v="Leather"/>
    <x v="1"/>
    <x v="2"/>
    <s v="Winter 2023"/>
    <x v="134"/>
    <n v="5.3"/>
    <n v="3.6"/>
    <x v="0"/>
  </r>
  <r>
    <n v="136"/>
    <x v="5"/>
    <x v="2"/>
    <x v="0"/>
    <s v="Down"/>
    <x v="1"/>
    <x v="0"/>
    <s v="Winter 2024"/>
    <x v="135"/>
    <n v="2.7"/>
    <n v="4.0999999999999996"/>
    <x v="1"/>
  </r>
  <r>
    <n v="137"/>
    <x v="8"/>
    <x v="9"/>
    <x v="3"/>
    <s v="Fleece"/>
    <x v="1"/>
    <x v="0"/>
    <s v="Winter 2025"/>
    <x v="136"/>
    <n v="9.5"/>
    <n v="4.0999999999999996"/>
    <x v="1"/>
  </r>
  <r>
    <n v="138"/>
    <x v="9"/>
    <x v="4"/>
    <x v="8"/>
    <s v="Polyester"/>
    <x v="1"/>
    <x v="2"/>
    <s v="Winter 2024"/>
    <x v="137"/>
    <n v="9.3000000000000007"/>
    <n v="3.5"/>
    <x v="3"/>
  </r>
  <r>
    <n v="139"/>
    <x v="8"/>
    <x v="8"/>
    <x v="0"/>
    <s v="Down"/>
    <x v="1"/>
    <x v="0"/>
    <s v="Winter 2025"/>
    <x v="138"/>
    <n v="5.5"/>
    <n v="2.9"/>
    <x v="0"/>
  </r>
  <r>
    <n v="140"/>
    <x v="7"/>
    <x v="3"/>
    <x v="6"/>
    <s v="Down"/>
    <x v="1"/>
    <x v="2"/>
    <s v="Winter 2025"/>
    <x v="139"/>
    <n v="9.1999999999999993"/>
    <n v="4.5999999999999996"/>
    <x v="1"/>
  </r>
  <r>
    <n v="141"/>
    <x v="2"/>
    <x v="0"/>
    <x v="9"/>
    <s v="Wool"/>
    <x v="2"/>
    <x v="1"/>
    <s v="Winter 2025"/>
    <x v="140"/>
    <n v="5.2"/>
    <n v="4.8"/>
    <x v="0"/>
  </r>
  <r>
    <n v="142"/>
    <x v="0"/>
    <x v="4"/>
    <x v="0"/>
    <s v="Fleece"/>
    <x v="3"/>
    <x v="2"/>
    <s v="Winter 2023"/>
    <x v="141"/>
    <n v="3.6"/>
    <n v="3.9"/>
    <x v="2"/>
  </r>
  <r>
    <n v="143"/>
    <x v="5"/>
    <x v="3"/>
    <x v="9"/>
    <s v="Leather"/>
    <x v="0"/>
    <x v="2"/>
    <s v="Winter 2025"/>
    <x v="142"/>
    <n v="5.7"/>
    <n v="2.7"/>
    <x v="0"/>
  </r>
  <r>
    <n v="144"/>
    <x v="8"/>
    <x v="1"/>
    <x v="8"/>
    <s v="Cotton"/>
    <x v="1"/>
    <x v="1"/>
    <s v="Winter 2023"/>
    <x v="143"/>
    <n v="5.4"/>
    <n v="4.5"/>
    <x v="1"/>
  </r>
  <r>
    <n v="145"/>
    <x v="2"/>
    <x v="4"/>
    <x v="1"/>
    <s v="Cotton"/>
    <x v="3"/>
    <x v="2"/>
    <s v="Winter 2024"/>
    <x v="144"/>
    <n v="1.8"/>
    <n v="3.7"/>
    <x v="1"/>
  </r>
  <r>
    <n v="146"/>
    <x v="4"/>
    <x v="1"/>
    <x v="7"/>
    <s v="Down"/>
    <x v="3"/>
    <x v="0"/>
    <s v="Winter 2024"/>
    <x v="145"/>
    <n v="2.9"/>
    <n v="4.5"/>
    <x v="3"/>
  </r>
  <r>
    <n v="147"/>
    <x v="2"/>
    <x v="7"/>
    <x v="4"/>
    <s v="Polyester"/>
    <x v="2"/>
    <x v="2"/>
    <s v="Winter 2023"/>
    <x v="146"/>
    <n v="3"/>
    <n v="4.4000000000000004"/>
    <x v="1"/>
  </r>
  <r>
    <n v="148"/>
    <x v="5"/>
    <x v="7"/>
    <x v="4"/>
    <s v="Leather"/>
    <x v="3"/>
    <x v="2"/>
    <s v="Winter 2024"/>
    <x v="147"/>
    <n v="9.6999999999999993"/>
    <n v="4.7"/>
    <x v="1"/>
  </r>
  <r>
    <n v="149"/>
    <x v="7"/>
    <x v="5"/>
    <x v="3"/>
    <s v="Wool"/>
    <x v="2"/>
    <x v="2"/>
    <s v="Winter 2025"/>
    <x v="148"/>
    <n v="3.5"/>
    <n v="3"/>
    <x v="2"/>
  </r>
  <r>
    <n v="150"/>
    <x v="1"/>
    <x v="0"/>
    <x v="1"/>
    <s v="Down"/>
    <x v="4"/>
    <x v="1"/>
    <s v="Winter 2024"/>
    <x v="149"/>
    <n v="7.3"/>
    <n v="3.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D3D3FF-D1F5-4952-B26B-18D6D600EA6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2" firstHeaderRow="0" firstDataRow="1" firstDataCol="1"/>
  <pivotFields count="12">
    <pivotField dataField="1" showAll="0"/>
    <pivotField axis="axisRow" showAll="0" sortType="descending">
      <items count="11">
        <item x="0"/>
        <item x="1"/>
        <item x="2"/>
        <item x="8"/>
        <item x="4"/>
        <item x="9"/>
        <item x="3"/>
        <item x="7"/>
        <item x="5"/>
        <item x="6"/>
        <item t="default"/>
      </items>
      <autoSortScope>
        <pivotArea dataOnly="0" outline="0" fieldPosition="0">
          <references count="1">
            <reference field="4294967294" count="1" selected="0">
              <x v="0"/>
            </reference>
          </references>
        </pivotArea>
      </autoSortScope>
    </pivotField>
    <pivotField showAll="0">
      <items count="11">
        <item x="5"/>
        <item x="9"/>
        <item x="6"/>
        <item x="1"/>
        <item x="0"/>
        <item x="8"/>
        <item x="7"/>
        <item x="4"/>
        <item x="3"/>
        <item x="2"/>
        <item t="default"/>
      </items>
    </pivotField>
    <pivotField showAll="0"/>
    <pivotField showAll="0"/>
    <pivotField showAll="0"/>
    <pivotField showAll="0"/>
    <pivotField showAll="0"/>
    <pivotField showAll="0">
      <items count="7">
        <item x="0"/>
        <item x="1"/>
        <item x="2"/>
        <item x="3"/>
        <item x="4"/>
        <item x="5"/>
        <item t="default"/>
      </items>
    </pivotField>
    <pivotField showAll="0"/>
    <pivotField dataField="1" showAll="0"/>
    <pivotField showAll="0">
      <items count="5">
        <item x="2"/>
        <item h="1" x="3"/>
        <item h="1" x="1"/>
        <item h="1" x="0"/>
        <item t="default"/>
      </items>
    </pivotField>
  </pivotFields>
  <rowFields count="1">
    <field x="1"/>
  </rowFields>
  <rowItems count="9">
    <i>
      <x v="4"/>
    </i>
    <i>
      <x v="6"/>
    </i>
    <i>
      <x v="3"/>
    </i>
    <i>
      <x v="5"/>
    </i>
    <i>
      <x v="8"/>
    </i>
    <i>
      <x v="7"/>
    </i>
    <i>
      <x/>
    </i>
    <i>
      <x v="1"/>
    </i>
    <i>
      <x v="9"/>
    </i>
  </rowItems>
  <colFields count="1">
    <field x="-2"/>
  </colFields>
  <colItems count="2">
    <i>
      <x/>
    </i>
    <i i="1">
      <x v="1"/>
    </i>
  </colItems>
  <dataFields count="2">
    <dataField name="Sum of ID" fld="0" baseField="0" baseItem="0"/>
    <dataField name="Average of Customer_Rating" fld="10" subtotal="average" baseField="0" baseItem="0" numFmtId="2"/>
  </dataFields>
  <formats count="1">
    <format dxfId="74">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917B90-6847-483D-948D-4035177B62A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6" firstHeaderRow="1" firstDataRow="1" firstDataCol="1"/>
  <pivotFields count="12">
    <pivotField showAll="0"/>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dataField="1" showAll="0">
      <items count="7">
        <item x="0"/>
        <item x="1"/>
        <item x="2"/>
        <item x="3"/>
        <item x="4"/>
        <item x="5"/>
        <item t="default"/>
      </items>
    </pivotField>
    <pivotField showAll="0"/>
    <pivotField showAll="0"/>
    <pivotField showAll="0">
      <items count="5">
        <item x="2"/>
        <item h="1" x="3"/>
        <item h="1" x="1"/>
        <item h="1" x="0"/>
        <item t="default"/>
      </items>
    </pivotField>
  </pivotFields>
  <rowFields count="1">
    <field x="6"/>
  </rowFields>
  <rowItems count="3">
    <i>
      <x v="2"/>
    </i>
    <i>
      <x v="1"/>
    </i>
    <i>
      <x/>
    </i>
  </rowItems>
  <colItems count="1">
    <i/>
  </colItems>
  <dataFields count="1">
    <dataField name="Sum of Price(USD)" fld="8"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84943C-7812-406C-BAB4-5A61480A2D3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2" firstHeaderRow="1" firstDataRow="1" firstDataCol="1"/>
  <pivotFields count="12">
    <pivotField dataField="1" showAll="0"/>
    <pivotField showAll="0"/>
    <pivotField showAll="0"/>
    <pivotField axis="axisRow" showAll="0" sortType="descending">
      <items count="11">
        <item x="8"/>
        <item x="3"/>
        <item x="2"/>
        <item x="0"/>
        <item x="5"/>
        <item x="4"/>
        <item x="7"/>
        <item x="6"/>
        <item x="1"/>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3"/>
        <item x="4"/>
        <item x="5"/>
        <item t="default"/>
      </items>
    </pivotField>
    <pivotField showAll="0"/>
    <pivotField showAll="0"/>
    <pivotField showAll="0">
      <items count="5">
        <item x="2"/>
        <item h="1" x="3"/>
        <item h="1" x="1"/>
        <item h="1" x="0"/>
        <item t="default"/>
      </items>
    </pivotField>
  </pivotFields>
  <rowFields count="1">
    <field x="3"/>
  </rowFields>
  <rowItems count="9">
    <i>
      <x v="3"/>
    </i>
    <i>
      <x v="7"/>
    </i>
    <i>
      <x v="1"/>
    </i>
    <i>
      <x v="5"/>
    </i>
    <i>
      <x v="2"/>
    </i>
    <i>
      <x v="9"/>
    </i>
    <i>
      <x v="8"/>
    </i>
    <i>
      <x v="4"/>
    </i>
    <i>
      <x/>
    </i>
  </rowItems>
  <colItems count="1">
    <i/>
  </colItems>
  <dataFields count="1">
    <dataField name="Sum of ID" fld="0" baseField="0" baseItem="0"/>
  </dataFields>
  <formats count="1">
    <format dxfId="73">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80EB78-7C1B-4586-A6AB-9A44DF530E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4" firstHeaderRow="0" firstDataRow="1" firstDataCol="1"/>
  <pivotFields count="12">
    <pivotField showAll="0"/>
    <pivotField showAll="0"/>
    <pivotField axis="axisRow" showAll="0" sortType="descending">
      <items count="11">
        <item x="5"/>
        <item x="9"/>
        <item x="6"/>
        <item x="1"/>
        <item x="0"/>
        <item x="8"/>
        <item x="7"/>
        <item x="4"/>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items count="7">
        <item x="0"/>
        <item x="1"/>
        <item x="2"/>
        <item x="3"/>
        <item x="4"/>
        <item x="5"/>
        <item t="default"/>
      </items>
    </pivotField>
    <pivotField showAll="0"/>
    <pivotField showAll="0"/>
    <pivotField showAll="0">
      <items count="5">
        <item x="2"/>
        <item h="1" x="3"/>
        <item h="1" x="1"/>
        <item h="1" x="0"/>
        <item t="default"/>
      </items>
    </pivotField>
  </pivotFields>
  <rowFields count="1">
    <field x="2"/>
  </rowFields>
  <rowItems count="11">
    <i>
      <x v="4"/>
    </i>
    <i>
      <x v="9"/>
    </i>
    <i>
      <x/>
    </i>
    <i>
      <x v="7"/>
    </i>
    <i>
      <x v="8"/>
    </i>
    <i>
      <x v="5"/>
    </i>
    <i>
      <x v="2"/>
    </i>
    <i>
      <x v="3"/>
    </i>
    <i>
      <x v="6"/>
    </i>
    <i>
      <x v="1"/>
    </i>
    <i t="grand">
      <x/>
    </i>
  </rowItems>
  <colFields count="1">
    <field x="-2"/>
  </colFields>
  <colItems count="2">
    <i>
      <x/>
    </i>
    <i i="1">
      <x v="1"/>
    </i>
  </colItems>
  <dataFields count="2">
    <dataField name="Sum of Price(USD)" fld="8" baseField="0" baseItem="0"/>
    <dataField name="Average of Price(USD)" fld="8" subtotal="average" baseField="2" baseItem="0"/>
  </dataFields>
  <formats count="1">
    <format dxfId="72">
      <pivotArea collapsedLevelsAreSubtotals="1" fieldPosition="0">
        <references count="2">
          <reference field="4294967294" count="1" selected="0">
            <x v="1"/>
          </reference>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E5727D-2671-4AE5-BE56-86A4F9D725A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7" firstHeaderRow="1" firstDataRow="1" firstDataCol="1"/>
  <pivotFields count="12">
    <pivotField showAll="0"/>
    <pivotField showAll="0"/>
    <pivotField showAll="0"/>
    <pivotField showAll="0"/>
    <pivotField showAll="0"/>
    <pivotField showAll="0"/>
    <pivotField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5">
        <item x="2"/>
        <item h="1" x="3"/>
        <item h="1" x="1"/>
        <item h="1" x="0"/>
        <item t="default"/>
      </items>
    </pivotField>
  </pivotFields>
  <rowFields count="1">
    <field x="8"/>
  </rowFields>
  <rowItems count="4">
    <i>
      <x v="2"/>
    </i>
    <i>
      <x v="3"/>
    </i>
    <i>
      <x v="1"/>
    </i>
    <i>
      <x v="4"/>
    </i>
  </rowItems>
  <colItems count="1">
    <i/>
  </colItems>
  <dataFields count="1">
    <dataField name="Average of Popularity_Score" fld="9" subtotal="average" baseField="0" baseItem="0"/>
  </dataFields>
  <formats count="1">
    <format dxfId="71">
      <pivotArea collapsedLevelsAreSubtotals="1" fieldPosition="0">
        <references count="1">
          <reference field="8" count="4">
            <x v="1"/>
            <x v="2"/>
            <x v="3"/>
            <x v="4"/>
          </reference>
        </references>
      </pivotArea>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EDF4BD-CCAB-4152-9C84-889FE705BEB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8" firstHeaderRow="1" firstDataRow="1" firstDataCol="1"/>
  <pivotFields count="12">
    <pivotField showAll="0"/>
    <pivotField showAll="0"/>
    <pivotField showAll="0"/>
    <pivotField showAll="0"/>
    <pivotField showAll="0"/>
    <pivotField axis="axisRow" showAll="0" sortType="descending">
      <items count="6">
        <item x="3"/>
        <item x="2"/>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5">
        <item x="2"/>
        <item h="1" x="3"/>
        <item h="1" x="1"/>
        <item h="1" x="0"/>
        <item t="default"/>
      </items>
    </pivotField>
  </pivotFields>
  <rowFields count="1">
    <field x="5"/>
  </rowFields>
  <rowItems count="5">
    <i>
      <x v="4"/>
    </i>
    <i>
      <x v="2"/>
    </i>
    <i>
      <x v="3"/>
    </i>
    <i>
      <x v="1"/>
    </i>
    <i>
      <x/>
    </i>
  </rowItems>
  <colItems count="1">
    <i/>
  </colItems>
  <dataFields count="1">
    <dataField name="Average of Popularity_Score" fld="9" subtotal="average" baseField="0" baseItem="0"/>
  </dataFields>
  <formats count="1">
    <format dxfId="70">
      <pivotArea collapsedLevelsAreSubtotals="1" fieldPosition="0">
        <references count="1">
          <reference field="5" count="0"/>
        </references>
      </pivotArea>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4"/>
          </reference>
        </references>
      </pivotArea>
    </chartFormat>
    <chartFormat chart="0" format="2">
      <pivotArea type="data" outline="0" fieldPosition="0">
        <references count="2">
          <reference field="4294967294" count="1" selected="0">
            <x v="0"/>
          </reference>
          <reference field="5" count="1" selected="0">
            <x v="3"/>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4"/>
          </reference>
        </references>
      </pivotArea>
    </chartFormat>
    <chartFormat chart="2" format="8">
      <pivotArea type="data" outline="0" fieldPosition="0">
        <references count="2">
          <reference field="4294967294" count="1" selected="0">
            <x v="0"/>
          </reference>
          <reference field="5" count="1" selected="0">
            <x v="3"/>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4"/>
          </reference>
        </references>
      </pivotArea>
    </chartFormat>
    <chartFormat chart="3" format="14">
      <pivotArea type="data" outline="0" fieldPosition="0">
        <references count="2">
          <reference field="4294967294" count="1" selected="0">
            <x v="0"/>
          </reference>
          <reference field="5" count="1" selected="0">
            <x v="3"/>
          </reference>
        </references>
      </pivotArea>
    </chartFormat>
    <chartFormat chart="3" format="15">
      <pivotArea type="data" outline="0" fieldPosition="0">
        <references count="2">
          <reference field="4294967294" count="1" selected="0">
            <x v="0"/>
          </reference>
          <reference field="5" count="1" selected="0">
            <x v="0"/>
          </reference>
        </references>
      </pivotArea>
    </chartFormat>
    <chartFormat chart="3" format="16">
      <pivotArea type="data" outline="0" fieldPosition="0">
        <references count="2">
          <reference field="4294967294" count="1" selected="0">
            <x v="0"/>
          </reference>
          <reference field="5" count="1" selected="0">
            <x v="1"/>
          </reference>
        </references>
      </pivotArea>
    </chartFormat>
    <chartFormat chart="3" format="17">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nd_Status" xr10:uid="{2DECBADD-BE4B-4BFF-93CD-731139332AE0}" sourceName="Trend_Status">
  <pivotTables>
    <pivotTable tabId="2" name="PivotTable1"/>
    <pivotTable tabId="5" name="PivotTable3"/>
    <pivotTable tabId="7" name="PivotTable5"/>
    <pivotTable tabId="4" name="PivotTable2"/>
    <pivotTable tabId="6" name="PivotTable4"/>
    <pivotTable tabId="8" name="PivotTable1"/>
  </pivotTables>
  <data>
    <tabular pivotCacheId="229344141">
      <items count="4">
        <i x="2" s="1"/>
        <i x="3"/>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end_Status" xr10:uid="{BFCD81A2-A4B2-4E54-AC10-EB8A4AD447AF}" cache="Slicer_Trend_Status" caption="Trend_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33076-BB14-4D2A-A8FE-11E3636102F4}">
  <dimension ref="A1:U45"/>
  <sheetViews>
    <sheetView tabSelected="1" zoomScale="82" workbookViewId="0">
      <selection activeCell="AA9" sqref="AA9"/>
    </sheetView>
  </sheetViews>
  <sheetFormatPr defaultRowHeight="14.4" x14ac:dyDescent="0.3"/>
  <sheetData>
    <row r="1" spans="1:21" ht="24.6" x14ac:dyDescent="0.4">
      <c r="A1" s="6" t="s">
        <v>68</v>
      </c>
      <c r="B1" s="6"/>
      <c r="C1" s="6"/>
      <c r="D1" s="6"/>
      <c r="E1" s="6"/>
      <c r="F1" s="6"/>
      <c r="G1" s="6"/>
      <c r="H1" s="6"/>
      <c r="I1" s="6"/>
      <c r="J1" s="6"/>
      <c r="K1" s="6"/>
      <c r="L1" s="6"/>
      <c r="M1" s="6"/>
      <c r="N1" s="6"/>
      <c r="O1" s="6"/>
      <c r="P1" s="6"/>
      <c r="Q1" s="6"/>
      <c r="R1" s="6"/>
      <c r="S1" s="6"/>
      <c r="T1" s="6"/>
      <c r="U1" s="6"/>
    </row>
    <row r="2" spans="1:21" x14ac:dyDescent="0.3">
      <c r="A2" s="5"/>
      <c r="B2" s="5"/>
      <c r="C2" s="5"/>
      <c r="D2" s="5"/>
      <c r="E2" s="5"/>
      <c r="F2" s="5"/>
      <c r="G2" s="5"/>
      <c r="H2" s="5"/>
      <c r="I2" s="5"/>
      <c r="J2" s="5"/>
      <c r="K2" s="5"/>
      <c r="L2" s="5"/>
      <c r="M2" s="5"/>
      <c r="N2" s="5"/>
      <c r="O2" s="5"/>
      <c r="P2" s="5"/>
      <c r="Q2" s="5"/>
      <c r="R2" s="5"/>
      <c r="S2" s="5"/>
      <c r="T2" s="5"/>
      <c r="U2" s="5"/>
    </row>
    <row r="3" spans="1:21" x14ac:dyDescent="0.3">
      <c r="A3" s="5"/>
      <c r="B3" s="5"/>
      <c r="C3" s="5"/>
      <c r="D3" s="5"/>
      <c r="E3" s="5"/>
      <c r="F3" s="5"/>
      <c r="G3" s="5"/>
      <c r="H3" s="5"/>
      <c r="I3" s="5"/>
      <c r="J3" s="5"/>
      <c r="K3" s="5"/>
      <c r="L3" s="5"/>
      <c r="M3" s="5"/>
      <c r="N3" s="5"/>
      <c r="O3" s="5"/>
      <c r="P3" s="5"/>
      <c r="Q3" s="5"/>
      <c r="R3" s="5"/>
      <c r="S3" s="5"/>
      <c r="T3" s="5"/>
      <c r="U3" s="5"/>
    </row>
    <row r="4" spans="1:21" x14ac:dyDescent="0.3">
      <c r="A4" s="5"/>
      <c r="B4" s="5"/>
      <c r="C4" s="5"/>
      <c r="D4" s="5"/>
      <c r="E4" s="5"/>
      <c r="F4" s="5"/>
      <c r="G4" s="5"/>
      <c r="H4" s="5"/>
      <c r="I4" s="5"/>
      <c r="J4" s="5"/>
      <c r="K4" s="5"/>
      <c r="L4" s="5"/>
      <c r="M4" s="5"/>
      <c r="N4" s="5"/>
      <c r="O4" s="5"/>
      <c r="P4" s="5"/>
      <c r="Q4" s="5"/>
      <c r="R4" s="5"/>
      <c r="S4" s="5"/>
      <c r="T4" s="5"/>
      <c r="U4" s="5"/>
    </row>
    <row r="5" spans="1:21" x14ac:dyDescent="0.3">
      <c r="A5" s="5"/>
      <c r="B5" s="5"/>
      <c r="C5" s="5"/>
      <c r="D5" s="5"/>
      <c r="E5" s="5"/>
      <c r="F5" s="5"/>
      <c r="G5" s="5"/>
      <c r="H5" s="5"/>
      <c r="I5" s="5"/>
      <c r="J5" s="5"/>
      <c r="K5" s="5"/>
      <c r="L5" s="5"/>
      <c r="M5" s="5"/>
      <c r="N5" s="5"/>
      <c r="O5" s="5"/>
      <c r="P5" s="5"/>
      <c r="Q5" s="5"/>
      <c r="R5" s="5"/>
      <c r="S5" s="5"/>
      <c r="T5" s="5"/>
      <c r="U5" s="5"/>
    </row>
    <row r="6" spans="1:21" x14ac:dyDescent="0.3">
      <c r="A6" s="5"/>
      <c r="B6" s="5"/>
      <c r="C6" s="5"/>
      <c r="D6" s="5"/>
      <c r="E6" s="5"/>
      <c r="F6" s="5"/>
      <c r="G6" s="5"/>
      <c r="H6" s="5"/>
      <c r="I6" s="5"/>
      <c r="J6" s="5"/>
      <c r="K6" s="5"/>
      <c r="L6" s="5"/>
      <c r="M6" s="5"/>
      <c r="N6" s="5"/>
      <c r="O6" s="5"/>
      <c r="P6" s="5"/>
      <c r="Q6" s="5"/>
      <c r="R6" s="5"/>
      <c r="S6" s="5"/>
      <c r="T6" s="5"/>
      <c r="U6" s="5"/>
    </row>
    <row r="7" spans="1:21" x14ac:dyDescent="0.3">
      <c r="A7" s="5"/>
      <c r="B7" s="5"/>
      <c r="C7" s="5"/>
      <c r="D7" s="5"/>
      <c r="E7" s="5"/>
      <c r="F7" s="5"/>
      <c r="G7" s="5"/>
      <c r="H7" s="5"/>
      <c r="I7" s="5"/>
      <c r="J7" s="5"/>
      <c r="K7" s="5"/>
      <c r="L7" s="5"/>
      <c r="M7" s="5"/>
      <c r="N7" s="5"/>
      <c r="O7" s="5"/>
      <c r="P7" s="5"/>
      <c r="Q7" s="5"/>
      <c r="R7" s="5"/>
      <c r="S7" s="5"/>
      <c r="T7" s="5"/>
      <c r="U7" s="5"/>
    </row>
    <row r="8" spans="1:21" x14ac:dyDescent="0.3">
      <c r="A8" s="5"/>
      <c r="B8" s="5"/>
      <c r="C8" s="5"/>
      <c r="D8" s="5"/>
      <c r="E8" s="5"/>
      <c r="F8" s="5"/>
      <c r="G8" s="5"/>
      <c r="H8" s="5"/>
      <c r="I8" s="5"/>
      <c r="J8" s="5"/>
      <c r="K8" s="5"/>
      <c r="L8" s="5"/>
      <c r="M8" s="5"/>
      <c r="N8" s="5"/>
      <c r="O8" s="5"/>
      <c r="P8" s="5"/>
      <c r="Q8" s="5"/>
      <c r="R8" s="5"/>
      <c r="S8" s="5"/>
      <c r="T8" s="5"/>
      <c r="U8" s="5"/>
    </row>
    <row r="9" spans="1:21" x14ac:dyDescent="0.3">
      <c r="A9" s="5"/>
      <c r="B9" s="5"/>
      <c r="C9" s="5"/>
      <c r="D9" s="5"/>
      <c r="E9" s="5"/>
      <c r="F9" s="5"/>
      <c r="G9" s="5"/>
      <c r="H9" s="5"/>
      <c r="I9" s="5"/>
      <c r="J9" s="5"/>
      <c r="K9" s="5"/>
      <c r="L9" s="5"/>
      <c r="M9" s="5"/>
      <c r="N9" s="5"/>
      <c r="O9" s="5"/>
      <c r="P9" s="5"/>
      <c r="Q9" s="5"/>
      <c r="R9" s="5"/>
      <c r="S9" s="5"/>
      <c r="T9" s="5"/>
      <c r="U9" s="5"/>
    </row>
    <row r="10" spans="1:21" x14ac:dyDescent="0.3">
      <c r="A10" s="5"/>
      <c r="B10" s="5"/>
      <c r="C10" s="5"/>
      <c r="D10" s="5"/>
      <c r="E10" s="5"/>
      <c r="F10" s="5"/>
      <c r="G10" s="5"/>
      <c r="H10" s="5"/>
      <c r="I10" s="5"/>
      <c r="J10" s="5"/>
      <c r="K10" s="5"/>
      <c r="L10" s="5"/>
      <c r="M10" s="5"/>
      <c r="N10" s="5"/>
      <c r="O10" s="5"/>
      <c r="P10" s="5"/>
      <c r="Q10" s="5"/>
      <c r="R10" s="5"/>
      <c r="S10" s="5"/>
      <c r="T10" s="5"/>
      <c r="U10" s="5"/>
    </row>
    <row r="11" spans="1:21" x14ac:dyDescent="0.3">
      <c r="A11" s="5"/>
      <c r="B11" s="5"/>
      <c r="C11" s="5"/>
      <c r="D11" s="5"/>
      <c r="E11" s="5"/>
      <c r="F11" s="5"/>
      <c r="G11" s="5"/>
      <c r="H11" s="5"/>
      <c r="I11" s="5"/>
      <c r="J11" s="5"/>
      <c r="K11" s="5"/>
      <c r="L11" s="5"/>
      <c r="M11" s="5"/>
      <c r="N11" s="5"/>
      <c r="O11" s="5"/>
      <c r="P11" s="5"/>
      <c r="Q11" s="5"/>
      <c r="R11" s="5"/>
      <c r="S11" s="5"/>
      <c r="T11" s="5"/>
      <c r="U11" s="5"/>
    </row>
    <row r="12" spans="1:21" x14ac:dyDescent="0.3">
      <c r="A12" s="5"/>
      <c r="B12" s="5"/>
      <c r="C12" s="5"/>
      <c r="D12" s="5"/>
      <c r="E12" s="5"/>
      <c r="F12" s="5"/>
      <c r="G12" s="5"/>
      <c r="H12" s="5"/>
      <c r="I12" s="5"/>
      <c r="J12" s="5"/>
      <c r="K12" s="5"/>
      <c r="L12" s="5"/>
      <c r="M12" s="5"/>
      <c r="N12" s="5"/>
      <c r="O12" s="5"/>
      <c r="P12" s="5"/>
      <c r="Q12" s="5"/>
      <c r="R12" s="5"/>
      <c r="S12" s="5"/>
      <c r="T12" s="5"/>
      <c r="U12" s="5"/>
    </row>
    <row r="13" spans="1:21" x14ac:dyDescent="0.3">
      <c r="A13" s="5"/>
      <c r="B13" s="5"/>
      <c r="C13" s="5"/>
      <c r="D13" s="5"/>
      <c r="E13" s="5"/>
      <c r="F13" s="5"/>
      <c r="G13" s="5"/>
      <c r="H13" s="5"/>
      <c r="I13" s="5"/>
      <c r="J13" s="5"/>
      <c r="K13" s="5"/>
      <c r="L13" s="5"/>
      <c r="M13" s="5"/>
      <c r="N13" s="5"/>
      <c r="O13" s="5"/>
      <c r="P13" s="5"/>
      <c r="Q13" s="5"/>
      <c r="R13" s="5"/>
      <c r="S13" s="5"/>
      <c r="T13" s="5"/>
      <c r="U13" s="5"/>
    </row>
    <row r="14" spans="1:21" x14ac:dyDescent="0.3">
      <c r="A14" s="5"/>
      <c r="B14" s="5"/>
      <c r="C14" s="5"/>
      <c r="D14" s="5"/>
      <c r="E14" s="5"/>
      <c r="F14" s="5"/>
      <c r="G14" s="5"/>
      <c r="H14" s="5"/>
      <c r="I14" s="5"/>
      <c r="J14" s="5"/>
      <c r="K14" s="5"/>
      <c r="L14" s="5"/>
      <c r="M14" s="5"/>
      <c r="N14" s="5"/>
      <c r="O14" s="5"/>
      <c r="P14" s="5"/>
      <c r="Q14" s="5"/>
      <c r="R14" s="5"/>
      <c r="S14" s="5"/>
      <c r="T14" s="5"/>
      <c r="U14" s="5"/>
    </row>
    <row r="15" spans="1:21" x14ac:dyDescent="0.3">
      <c r="A15" s="5"/>
      <c r="B15" s="5"/>
      <c r="C15" s="5"/>
      <c r="D15" s="5"/>
      <c r="E15" s="5"/>
      <c r="F15" s="5"/>
      <c r="G15" s="5"/>
      <c r="H15" s="5"/>
      <c r="I15" s="5"/>
      <c r="J15" s="5"/>
      <c r="K15" s="5"/>
      <c r="L15" s="5"/>
      <c r="M15" s="5"/>
      <c r="N15" s="5"/>
      <c r="O15" s="5"/>
      <c r="P15" s="5"/>
      <c r="Q15" s="5"/>
      <c r="R15" s="5"/>
      <c r="S15" s="5"/>
      <c r="T15" s="5"/>
      <c r="U15" s="5"/>
    </row>
    <row r="16" spans="1:21" x14ac:dyDescent="0.3">
      <c r="A16" s="5"/>
      <c r="B16" s="5"/>
      <c r="C16" s="5"/>
      <c r="D16" s="5"/>
      <c r="E16" s="5"/>
      <c r="F16" s="5"/>
      <c r="G16" s="5"/>
      <c r="H16" s="5"/>
      <c r="I16" s="5"/>
      <c r="J16" s="5"/>
      <c r="K16" s="5"/>
      <c r="L16" s="5"/>
      <c r="M16" s="5"/>
      <c r="N16" s="5"/>
      <c r="O16" s="5"/>
      <c r="P16" s="5"/>
      <c r="Q16" s="5"/>
      <c r="R16" s="5"/>
      <c r="S16" s="5"/>
      <c r="T16" s="5"/>
      <c r="U16" s="5"/>
    </row>
    <row r="17" spans="1:21" x14ac:dyDescent="0.3">
      <c r="A17" s="5"/>
      <c r="B17" s="5"/>
      <c r="C17" s="5"/>
      <c r="D17" s="5"/>
      <c r="E17" s="5"/>
      <c r="F17" s="5"/>
      <c r="G17" s="5"/>
      <c r="H17" s="5"/>
      <c r="I17" s="5"/>
      <c r="J17" s="5"/>
      <c r="K17" s="5"/>
      <c r="L17" s="5"/>
      <c r="M17" s="5"/>
      <c r="N17" s="5"/>
      <c r="O17" s="5"/>
      <c r="P17" s="5"/>
      <c r="Q17" s="5"/>
      <c r="R17" s="5"/>
      <c r="S17" s="5"/>
      <c r="T17" s="5"/>
      <c r="U17" s="5"/>
    </row>
    <row r="18" spans="1:21" x14ac:dyDescent="0.3">
      <c r="A18" s="5"/>
      <c r="B18" s="5"/>
      <c r="C18" s="5"/>
      <c r="D18" s="5"/>
      <c r="E18" s="5"/>
      <c r="F18" s="5"/>
      <c r="G18" s="5"/>
      <c r="H18" s="5"/>
      <c r="I18" s="5"/>
      <c r="J18" s="5"/>
      <c r="K18" s="5"/>
      <c r="L18" s="5"/>
      <c r="M18" s="5"/>
      <c r="N18" s="5"/>
      <c r="O18" s="5"/>
      <c r="P18" s="5"/>
      <c r="Q18" s="5"/>
      <c r="R18" s="5"/>
      <c r="S18" s="5"/>
      <c r="T18" s="5"/>
      <c r="U18" s="5"/>
    </row>
    <row r="19" spans="1:21" x14ac:dyDescent="0.3">
      <c r="A19" s="5"/>
      <c r="B19" s="5"/>
      <c r="C19" s="5"/>
      <c r="D19" s="5"/>
      <c r="E19" s="5"/>
      <c r="F19" s="5"/>
      <c r="G19" s="5"/>
      <c r="H19" s="5"/>
      <c r="I19" s="5"/>
      <c r="J19" s="5"/>
      <c r="K19" s="5"/>
      <c r="L19" s="5"/>
      <c r="M19" s="5"/>
      <c r="N19" s="5"/>
      <c r="O19" s="5"/>
      <c r="P19" s="5"/>
      <c r="Q19" s="5"/>
      <c r="R19" s="5"/>
      <c r="S19" s="5"/>
      <c r="T19" s="5"/>
      <c r="U19" s="5"/>
    </row>
    <row r="20" spans="1:21" x14ac:dyDescent="0.3">
      <c r="A20" s="5"/>
      <c r="B20" s="5"/>
      <c r="C20" s="5"/>
      <c r="D20" s="5"/>
      <c r="E20" s="5"/>
      <c r="F20" s="5"/>
      <c r="G20" s="5"/>
      <c r="H20" s="5"/>
      <c r="I20" s="5"/>
      <c r="J20" s="5"/>
      <c r="K20" s="5"/>
      <c r="L20" s="5"/>
      <c r="M20" s="5"/>
      <c r="N20" s="5"/>
      <c r="O20" s="5"/>
      <c r="P20" s="5"/>
      <c r="Q20" s="5"/>
      <c r="R20" s="5"/>
      <c r="S20" s="5"/>
      <c r="T20" s="5"/>
      <c r="U20" s="5"/>
    </row>
    <row r="21" spans="1:21" x14ac:dyDescent="0.3">
      <c r="A21" s="5"/>
      <c r="B21" s="5"/>
      <c r="C21" s="5"/>
      <c r="D21" s="5"/>
      <c r="E21" s="5"/>
      <c r="F21" s="5"/>
      <c r="G21" s="5"/>
      <c r="H21" s="5"/>
      <c r="I21" s="5"/>
      <c r="J21" s="5"/>
      <c r="K21" s="5"/>
      <c r="L21" s="5"/>
      <c r="M21" s="5"/>
      <c r="N21" s="5"/>
      <c r="O21" s="5"/>
      <c r="P21" s="5"/>
      <c r="Q21" s="5"/>
      <c r="R21" s="5"/>
      <c r="S21" s="5"/>
      <c r="T21" s="5"/>
      <c r="U21" s="5"/>
    </row>
    <row r="22" spans="1:21" x14ac:dyDescent="0.3">
      <c r="A22" s="5"/>
      <c r="B22" s="5"/>
      <c r="C22" s="5"/>
      <c r="D22" s="5"/>
      <c r="E22" s="5"/>
      <c r="F22" s="5"/>
      <c r="G22" s="5"/>
      <c r="H22" s="5"/>
      <c r="I22" s="5"/>
      <c r="J22" s="5"/>
      <c r="K22" s="5"/>
      <c r="L22" s="5"/>
      <c r="M22" s="5"/>
      <c r="N22" s="5"/>
      <c r="O22" s="5"/>
      <c r="P22" s="5"/>
      <c r="Q22" s="5"/>
      <c r="R22" s="5"/>
      <c r="S22" s="5"/>
      <c r="T22" s="5"/>
      <c r="U22" s="5"/>
    </row>
    <row r="23" spans="1:21" x14ac:dyDescent="0.3">
      <c r="A23" s="5"/>
      <c r="B23" s="5"/>
      <c r="C23" s="5"/>
      <c r="D23" s="5"/>
      <c r="E23" s="5"/>
      <c r="F23" s="5"/>
      <c r="G23" s="5"/>
      <c r="H23" s="5"/>
      <c r="I23" s="5"/>
      <c r="J23" s="5"/>
      <c r="K23" s="5"/>
      <c r="L23" s="5"/>
      <c r="M23" s="5"/>
      <c r="N23" s="5"/>
      <c r="O23" s="5"/>
      <c r="P23" s="5"/>
      <c r="Q23" s="5"/>
      <c r="R23" s="5"/>
      <c r="S23" s="5"/>
      <c r="T23" s="5"/>
      <c r="U23" s="5"/>
    </row>
    <row r="24" spans="1:21" x14ac:dyDescent="0.3">
      <c r="A24" s="5"/>
      <c r="B24" s="5"/>
      <c r="C24" s="5"/>
      <c r="D24" s="5"/>
      <c r="E24" s="5"/>
      <c r="F24" s="5"/>
      <c r="G24" s="5"/>
      <c r="H24" s="5"/>
      <c r="I24" s="5"/>
      <c r="J24" s="5"/>
      <c r="K24" s="5"/>
      <c r="L24" s="5"/>
      <c r="M24" s="5"/>
      <c r="N24" s="5"/>
      <c r="O24" s="5"/>
      <c r="P24" s="5"/>
      <c r="Q24" s="5"/>
      <c r="R24" s="5"/>
      <c r="S24" s="5"/>
      <c r="T24" s="5"/>
      <c r="U24" s="5"/>
    </row>
    <row r="25" spans="1:21" x14ac:dyDescent="0.3">
      <c r="A25" s="5"/>
      <c r="B25" s="5"/>
      <c r="C25" s="5"/>
      <c r="D25" s="5"/>
      <c r="E25" s="5"/>
      <c r="F25" s="5"/>
      <c r="G25" s="5"/>
      <c r="H25" s="5"/>
      <c r="I25" s="5"/>
      <c r="J25" s="5"/>
      <c r="K25" s="5"/>
      <c r="L25" s="5"/>
      <c r="M25" s="5"/>
      <c r="N25" s="5"/>
      <c r="O25" s="5"/>
      <c r="P25" s="5"/>
      <c r="Q25" s="5"/>
      <c r="R25" s="5"/>
      <c r="S25" s="5"/>
      <c r="T25" s="5"/>
      <c r="U25" s="5"/>
    </row>
    <row r="26" spans="1:21" x14ac:dyDescent="0.3">
      <c r="A26" s="5"/>
      <c r="B26" s="5"/>
      <c r="C26" s="5"/>
      <c r="D26" s="5"/>
      <c r="E26" s="5"/>
      <c r="F26" s="5"/>
      <c r="G26" s="5"/>
      <c r="H26" s="5"/>
      <c r="I26" s="5"/>
      <c r="J26" s="5"/>
      <c r="K26" s="5"/>
      <c r="L26" s="5"/>
      <c r="M26" s="5"/>
      <c r="N26" s="5"/>
      <c r="O26" s="5"/>
      <c r="P26" s="5"/>
      <c r="Q26" s="5"/>
      <c r="R26" s="5"/>
      <c r="S26" s="5"/>
      <c r="T26" s="5"/>
      <c r="U26" s="5"/>
    </row>
    <row r="27" spans="1:21" x14ac:dyDescent="0.3">
      <c r="A27" s="5"/>
      <c r="B27" s="5"/>
      <c r="C27" s="5"/>
      <c r="D27" s="5"/>
      <c r="E27" s="5"/>
      <c r="F27" s="5"/>
      <c r="G27" s="5"/>
      <c r="H27" s="5"/>
      <c r="I27" s="5"/>
      <c r="J27" s="5"/>
      <c r="K27" s="5"/>
      <c r="L27" s="5"/>
      <c r="M27" s="5"/>
      <c r="N27" s="5"/>
      <c r="O27" s="5"/>
      <c r="P27" s="5"/>
      <c r="Q27" s="5"/>
      <c r="R27" s="5"/>
      <c r="S27" s="5"/>
      <c r="T27" s="5"/>
      <c r="U27" s="5"/>
    </row>
    <row r="28" spans="1:21" x14ac:dyDescent="0.3">
      <c r="A28" s="5"/>
      <c r="B28" s="5"/>
      <c r="C28" s="5"/>
      <c r="D28" s="5"/>
      <c r="E28" s="5"/>
      <c r="F28" s="5"/>
      <c r="G28" s="5"/>
      <c r="H28" s="5"/>
      <c r="I28" s="5"/>
      <c r="J28" s="5"/>
      <c r="K28" s="5"/>
      <c r="L28" s="5"/>
      <c r="M28" s="5"/>
      <c r="N28" s="5"/>
      <c r="O28" s="5"/>
      <c r="P28" s="5"/>
      <c r="Q28" s="5"/>
      <c r="R28" s="5"/>
      <c r="S28" s="5"/>
      <c r="T28" s="5"/>
      <c r="U28" s="5"/>
    </row>
    <row r="29" spans="1:21" x14ac:dyDescent="0.3">
      <c r="A29" s="5"/>
      <c r="B29" s="5"/>
      <c r="C29" s="5"/>
      <c r="D29" s="5"/>
      <c r="E29" s="5"/>
      <c r="F29" s="5"/>
      <c r="G29" s="5"/>
      <c r="H29" s="5"/>
      <c r="I29" s="5"/>
      <c r="J29" s="5"/>
      <c r="K29" s="5"/>
      <c r="L29" s="5"/>
      <c r="M29" s="5"/>
      <c r="N29" s="5"/>
      <c r="O29" s="5"/>
      <c r="P29" s="5"/>
      <c r="Q29" s="5"/>
      <c r="R29" s="5"/>
      <c r="S29" s="5"/>
      <c r="T29" s="5"/>
      <c r="U29" s="5"/>
    </row>
    <row r="30" spans="1:21" x14ac:dyDescent="0.3">
      <c r="A30" s="5"/>
      <c r="B30" s="5"/>
      <c r="C30" s="5"/>
      <c r="D30" s="5"/>
      <c r="E30" s="5"/>
      <c r="F30" s="5"/>
      <c r="G30" s="5"/>
      <c r="H30" s="5"/>
      <c r="I30" s="5"/>
      <c r="J30" s="5"/>
      <c r="K30" s="5"/>
      <c r="L30" s="5"/>
      <c r="M30" s="5"/>
      <c r="N30" s="5"/>
      <c r="O30" s="5"/>
      <c r="P30" s="5"/>
      <c r="Q30" s="5"/>
      <c r="R30" s="5"/>
      <c r="S30" s="5"/>
      <c r="T30" s="5"/>
      <c r="U30" s="5"/>
    </row>
    <row r="31" spans="1:21" x14ac:dyDescent="0.3">
      <c r="A31" s="5"/>
      <c r="B31" s="5"/>
      <c r="C31" s="5"/>
      <c r="D31" s="5"/>
      <c r="E31" s="5"/>
      <c r="F31" s="5"/>
      <c r="G31" s="5"/>
      <c r="H31" s="5"/>
      <c r="I31" s="5"/>
      <c r="J31" s="5"/>
      <c r="K31" s="5"/>
      <c r="L31" s="5"/>
      <c r="M31" s="5"/>
      <c r="N31" s="5"/>
      <c r="O31" s="5"/>
      <c r="P31" s="5"/>
      <c r="Q31" s="5"/>
      <c r="R31" s="5"/>
      <c r="S31" s="5"/>
      <c r="T31" s="5"/>
      <c r="U31" s="5"/>
    </row>
    <row r="32" spans="1:21" x14ac:dyDescent="0.3">
      <c r="A32" s="5"/>
      <c r="B32" s="5"/>
      <c r="C32" s="5"/>
      <c r="D32" s="5"/>
      <c r="E32" s="5"/>
      <c r="F32" s="5"/>
      <c r="G32" s="5"/>
      <c r="H32" s="5"/>
      <c r="I32" s="5"/>
      <c r="J32" s="5"/>
      <c r="K32" s="5"/>
      <c r="L32" s="5"/>
      <c r="M32" s="5"/>
      <c r="N32" s="5"/>
      <c r="O32" s="5"/>
      <c r="P32" s="5"/>
      <c r="Q32" s="5"/>
      <c r="R32" s="5"/>
      <c r="S32" s="5"/>
      <c r="T32" s="5"/>
      <c r="U32" s="5"/>
    </row>
    <row r="33" spans="1:21" x14ac:dyDescent="0.3">
      <c r="A33" s="5"/>
      <c r="B33" s="5"/>
      <c r="C33" s="5"/>
      <c r="D33" s="5"/>
      <c r="E33" s="5"/>
      <c r="F33" s="5"/>
      <c r="G33" s="5"/>
      <c r="H33" s="5"/>
      <c r="I33" s="5"/>
      <c r="J33" s="5"/>
      <c r="K33" s="5"/>
      <c r="L33" s="5"/>
      <c r="M33" s="5"/>
      <c r="N33" s="5"/>
      <c r="O33" s="5"/>
      <c r="P33" s="5"/>
      <c r="Q33" s="5"/>
      <c r="R33" s="5"/>
      <c r="S33" s="5"/>
      <c r="T33" s="5"/>
      <c r="U33" s="5"/>
    </row>
    <row r="34" spans="1:21" x14ac:dyDescent="0.3">
      <c r="A34" s="5"/>
      <c r="B34" s="5"/>
      <c r="C34" s="5"/>
      <c r="D34" s="5"/>
      <c r="E34" s="5"/>
      <c r="F34" s="5"/>
      <c r="G34" s="5"/>
      <c r="H34" s="5"/>
      <c r="I34" s="5"/>
      <c r="J34" s="5"/>
      <c r="K34" s="5"/>
      <c r="L34" s="5"/>
      <c r="M34" s="5"/>
      <c r="N34" s="5"/>
      <c r="O34" s="5"/>
      <c r="P34" s="5"/>
      <c r="Q34" s="5"/>
      <c r="R34" s="5"/>
      <c r="S34" s="5"/>
      <c r="T34" s="5"/>
      <c r="U34" s="5"/>
    </row>
    <row r="35" spans="1:21" x14ac:dyDescent="0.3">
      <c r="A35" s="5"/>
      <c r="B35" s="5"/>
      <c r="C35" s="5"/>
      <c r="D35" s="5"/>
      <c r="E35" s="5"/>
      <c r="F35" s="5"/>
      <c r="G35" s="5"/>
      <c r="H35" s="5"/>
      <c r="I35" s="5"/>
      <c r="J35" s="5"/>
      <c r="K35" s="5"/>
      <c r="L35" s="5"/>
      <c r="M35" s="5"/>
      <c r="N35" s="5"/>
      <c r="O35" s="5"/>
      <c r="P35" s="5"/>
      <c r="Q35" s="5"/>
      <c r="R35" s="5"/>
      <c r="S35" s="5"/>
      <c r="T35" s="5"/>
      <c r="U35" s="5"/>
    </row>
    <row r="36" spans="1:21" x14ac:dyDescent="0.3">
      <c r="A36" s="5"/>
      <c r="B36" s="5"/>
      <c r="C36" s="5"/>
      <c r="D36" s="5"/>
      <c r="E36" s="5"/>
      <c r="F36" s="5"/>
      <c r="G36" s="5"/>
      <c r="H36" s="5"/>
      <c r="I36" s="5"/>
      <c r="J36" s="5"/>
      <c r="K36" s="5"/>
      <c r="L36" s="5"/>
      <c r="M36" s="5"/>
      <c r="N36" s="5"/>
      <c r="O36" s="5"/>
      <c r="P36" s="5"/>
      <c r="Q36" s="5"/>
      <c r="R36" s="5"/>
      <c r="S36" s="5"/>
      <c r="T36" s="5"/>
      <c r="U36" s="5"/>
    </row>
    <row r="37" spans="1:21" x14ac:dyDescent="0.3">
      <c r="A37" s="5"/>
      <c r="B37" s="5"/>
      <c r="C37" s="5"/>
      <c r="D37" s="5"/>
      <c r="E37" s="5"/>
      <c r="F37" s="5"/>
      <c r="G37" s="5"/>
      <c r="H37" s="5"/>
      <c r="I37" s="5"/>
      <c r="J37" s="5"/>
      <c r="K37" s="5"/>
      <c r="L37" s="5"/>
      <c r="M37" s="5"/>
      <c r="N37" s="5"/>
      <c r="O37" s="5"/>
      <c r="P37" s="5"/>
      <c r="Q37" s="5"/>
      <c r="R37" s="5"/>
      <c r="S37" s="5"/>
      <c r="T37" s="5"/>
      <c r="U37" s="5"/>
    </row>
    <row r="38" spans="1:21" x14ac:dyDescent="0.3">
      <c r="A38" s="5"/>
      <c r="B38" s="5"/>
      <c r="C38" s="5"/>
      <c r="D38" s="5"/>
      <c r="E38" s="5"/>
      <c r="F38" s="5"/>
      <c r="G38" s="5"/>
      <c r="H38" s="5"/>
      <c r="I38" s="5"/>
      <c r="J38" s="5"/>
      <c r="K38" s="5"/>
      <c r="L38" s="5"/>
      <c r="M38" s="5"/>
      <c r="N38" s="5"/>
      <c r="O38" s="5"/>
      <c r="P38" s="5"/>
      <c r="Q38" s="5"/>
      <c r="R38" s="5"/>
      <c r="S38" s="5"/>
      <c r="T38" s="5"/>
      <c r="U38" s="5"/>
    </row>
    <row r="39" spans="1:21" x14ac:dyDescent="0.3">
      <c r="A39" s="5"/>
      <c r="B39" s="5"/>
      <c r="C39" s="5"/>
      <c r="D39" s="5"/>
      <c r="E39" s="5"/>
      <c r="F39" s="5"/>
      <c r="G39" s="5"/>
      <c r="H39" s="5"/>
      <c r="I39" s="5"/>
      <c r="J39" s="5"/>
      <c r="K39" s="5"/>
      <c r="L39" s="5"/>
      <c r="M39" s="5"/>
      <c r="N39" s="5"/>
      <c r="O39" s="5"/>
      <c r="P39" s="5"/>
      <c r="Q39" s="5"/>
      <c r="R39" s="5"/>
      <c r="S39" s="5"/>
      <c r="T39" s="5"/>
      <c r="U39" s="5"/>
    </row>
    <row r="40" spans="1:21" x14ac:dyDescent="0.3">
      <c r="A40" s="5"/>
      <c r="B40" s="5"/>
      <c r="C40" s="5"/>
      <c r="D40" s="5"/>
      <c r="E40" s="5"/>
      <c r="F40" s="5"/>
      <c r="G40" s="5"/>
      <c r="H40" s="5"/>
      <c r="I40" s="5"/>
      <c r="J40" s="5"/>
      <c r="K40" s="5"/>
      <c r="L40" s="5"/>
      <c r="M40" s="5"/>
      <c r="N40" s="5"/>
      <c r="O40" s="5"/>
      <c r="P40" s="5"/>
      <c r="Q40" s="5"/>
      <c r="R40" s="5"/>
      <c r="S40" s="5"/>
      <c r="T40" s="5"/>
      <c r="U40" s="5"/>
    </row>
    <row r="41" spans="1:21" x14ac:dyDescent="0.3">
      <c r="A41" s="5"/>
      <c r="B41" s="5"/>
      <c r="C41" s="5"/>
      <c r="D41" s="5"/>
      <c r="E41" s="5"/>
      <c r="F41" s="5"/>
      <c r="G41" s="5"/>
      <c r="H41" s="5"/>
      <c r="I41" s="5"/>
      <c r="J41" s="5"/>
      <c r="K41" s="5"/>
      <c r="L41" s="5"/>
      <c r="M41" s="5"/>
      <c r="N41" s="5"/>
      <c r="O41" s="5"/>
      <c r="P41" s="5"/>
      <c r="Q41" s="5"/>
      <c r="R41" s="5"/>
      <c r="S41" s="5"/>
      <c r="T41" s="5"/>
      <c r="U41" s="5"/>
    </row>
    <row r="42" spans="1:21" x14ac:dyDescent="0.3">
      <c r="A42" s="5"/>
      <c r="B42" s="5"/>
      <c r="C42" s="5"/>
      <c r="D42" s="5"/>
      <c r="E42" s="5"/>
      <c r="F42" s="5"/>
      <c r="G42" s="5"/>
      <c r="H42" s="5"/>
      <c r="I42" s="5"/>
      <c r="J42" s="5"/>
      <c r="K42" s="5"/>
      <c r="L42" s="5"/>
      <c r="M42" s="5"/>
      <c r="N42" s="5"/>
      <c r="O42" s="5"/>
      <c r="P42" s="5"/>
      <c r="Q42" s="5"/>
      <c r="R42" s="5"/>
      <c r="S42" s="5"/>
      <c r="T42" s="5"/>
      <c r="U42" s="5"/>
    </row>
    <row r="43" spans="1:21" x14ac:dyDescent="0.3">
      <c r="A43" s="5"/>
      <c r="B43" s="5"/>
      <c r="C43" s="5"/>
      <c r="D43" s="5"/>
      <c r="E43" s="5"/>
      <c r="F43" s="5"/>
      <c r="G43" s="5"/>
      <c r="H43" s="5"/>
      <c r="I43" s="5"/>
      <c r="J43" s="5"/>
      <c r="K43" s="5"/>
      <c r="L43" s="5"/>
      <c r="M43" s="5"/>
      <c r="N43" s="5"/>
      <c r="O43" s="5"/>
      <c r="P43" s="5"/>
      <c r="Q43" s="5"/>
      <c r="R43" s="5"/>
      <c r="S43" s="5"/>
      <c r="T43" s="5"/>
      <c r="U43" s="5"/>
    </row>
    <row r="44" spans="1:21" x14ac:dyDescent="0.3">
      <c r="A44" s="5"/>
      <c r="B44" s="5"/>
      <c r="C44" s="5"/>
      <c r="D44" s="5"/>
      <c r="E44" s="5"/>
      <c r="F44" s="5"/>
      <c r="G44" s="5"/>
      <c r="H44" s="5"/>
      <c r="I44" s="5"/>
      <c r="J44" s="5"/>
      <c r="K44" s="5"/>
      <c r="L44" s="5"/>
      <c r="M44" s="5"/>
      <c r="N44" s="5"/>
      <c r="O44" s="5"/>
      <c r="P44" s="5"/>
      <c r="Q44" s="5"/>
      <c r="R44" s="5"/>
      <c r="S44" s="5"/>
      <c r="T44" s="5"/>
      <c r="U44" s="5"/>
    </row>
    <row r="45" spans="1:21" x14ac:dyDescent="0.3">
      <c r="A45" s="5"/>
      <c r="B45" s="5"/>
      <c r="C45" s="5"/>
      <c r="D45" s="5"/>
      <c r="E45" s="5"/>
      <c r="F45" s="5"/>
      <c r="G45" s="5"/>
      <c r="H45" s="5"/>
      <c r="I45" s="5"/>
      <c r="J45" s="5"/>
      <c r="K45" s="5"/>
      <c r="L45" s="5"/>
      <c r="M45" s="5"/>
      <c r="N45" s="5"/>
      <c r="O45" s="5"/>
      <c r="P45" s="5"/>
      <c r="Q45" s="5"/>
      <c r="R45" s="5"/>
      <c r="S45" s="5"/>
      <c r="T45" s="5"/>
      <c r="U45" s="5"/>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DF329-DBA0-47A2-A935-94D2132B6DB9}">
  <dimension ref="A3:C12"/>
  <sheetViews>
    <sheetView zoomScaleNormal="100" workbookViewId="0">
      <selection activeCell="L6" sqref="L6"/>
    </sheetView>
  </sheetViews>
  <sheetFormatPr defaultRowHeight="14.4" x14ac:dyDescent="0.3"/>
  <cols>
    <col min="1" max="1" width="12.5546875" bestFit="1" customWidth="1"/>
    <col min="2" max="2" width="9.21875" bestFit="1" customWidth="1"/>
    <col min="3" max="3" width="25.44140625" bestFit="1" customWidth="1"/>
  </cols>
  <sheetData>
    <row r="3" spans="1:3" x14ac:dyDescent="0.3">
      <c r="A3" s="1" t="s">
        <v>64</v>
      </c>
      <c r="B3" t="s">
        <v>69</v>
      </c>
      <c r="C3" t="s">
        <v>70</v>
      </c>
    </row>
    <row r="4" spans="1:3" x14ac:dyDescent="0.3">
      <c r="A4" s="2" t="s">
        <v>36</v>
      </c>
      <c r="B4" s="7">
        <v>433</v>
      </c>
      <c r="C4" s="3">
        <v>3.7285714285714282</v>
      </c>
    </row>
    <row r="5" spans="1:3" x14ac:dyDescent="0.3">
      <c r="A5" s="2" t="s">
        <v>30</v>
      </c>
      <c r="B5" s="7">
        <v>395</v>
      </c>
      <c r="C5" s="3">
        <v>3.4599999999999995</v>
      </c>
    </row>
    <row r="6" spans="1:3" x14ac:dyDescent="0.3">
      <c r="A6" s="2" t="s">
        <v>60</v>
      </c>
      <c r="B6" s="7">
        <v>286</v>
      </c>
      <c r="C6" s="3">
        <v>3.1333333333333329</v>
      </c>
    </row>
    <row r="7" spans="1:3" x14ac:dyDescent="0.3">
      <c r="A7" s="2" t="s">
        <v>62</v>
      </c>
      <c r="B7" s="7">
        <v>246</v>
      </c>
      <c r="C7" s="3">
        <v>4.6500000000000004</v>
      </c>
    </row>
    <row r="8" spans="1:3" x14ac:dyDescent="0.3">
      <c r="A8" s="2" t="s">
        <v>38</v>
      </c>
      <c r="B8" s="7">
        <v>234</v>
      </c>
      <c r="C8" s="3">
        <v>4.0250000000000004</v>
      </c>
    </row>
    <row r="9" spans="1:3" x14ac:dyDescent="0.3">
      <c r="A9" s="2" t="s">
        <v>58</v>
      </c>
      <c r="B9" s="7">
        <v>178</v>
      </c>
      <c r="C9" s="3">
        <v>3.25</v>
      </c>
    </row>
    <row r="10" spans="1:3" x14ac:dyDescent="0.3">
      <c r="A10" s="2" t="s">
        <v>12</v>
      </c>
      <c r="B10" s="7">
        <v>142</v>
      </c>
      <c r="C10" s="3">
        <v>3.9</v>
      </c>
    </row>
    <row r="11" spans="1:3" x14ac:dyDescent="0.3">
      <c r="A11" s="2" t="s">
        <v>20</v>
      </c>
      <c r="B11" s="7">
        <v>124</v>
      </c>
      <c r="C11" s="3">
        <v>3.6333333333333333</v>
      </c>
    </row>
    <row r="12" spans="1:3" x14ac:dyDescent="0.3">
      <c r="A12" s="2" t="s">
        <v>52</v>
      </c>
      <c r="B12" s="7">
        <v>43</v>
      </c>
      <c r="C12" s="3">
        <v>3.8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AA723-494C-44D0-B04A-EDB11E59200A}">
  <dimension ref="A3:B6"/>
  <sheetViews>
    <sheetView workbookViewId="0">
      <selection activeCell="K12" sqref="K12"/>
    </sheetView>
  </sheetViews>
  <sheetFormatPr defaultRowHeight="14.4" x14ac:dyDescent="0.3"/>
  <cols>
    <col min="1" max="1" width="12.5546875" bestFit="1" customWidth="1"/>
    <col min="2" max="2" width="16.5546875" bestFit="1" customWidth="1"/>
  </cols>
  <sheetData>
    <row r="3" spans="1:2" x14ac:dyDescent="0.3">
      <c r="A3" s="1" t="s">
        <v>64</v>
      </c>
      <c r="B3" t="s">
        <v>66</v>
      </c>
    </row>
    <row r="4" spans="1:2" x14ac:dyDescent="0.3">
      <c r="A4" s="2" t="s">
        <v>17</v>
      </c>
      <c r="B4" s="7">
        <v>4604.7299999999996</v>
      </c>
    </row>
    <row r="5" spans="1:2" x14ac:dyDescent="0.3">
      <c r="A5" s="2" t="s">
        <v>29</v>
      </c>
      <c r="B5" s="7">
        <v>3324.2300000000005</v>
      </c>
    </row>
    <row r="6" spans="1:2" x14ac:dyDescent="0.3">
      <c r="A6" s="2" t="s">
        <v>24</v>
      </c>
      <c r="B6" s="7">
        <v>2802.54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6871-5B21-4ECA-9C67-99FD20C43752}">
  <dimension ref="A3:B12"/>
  <sheetViews>
    <sheetView workbookViewId="0">
      <selection activeCell="O17" sqref="O17"/>
    </sheetView>
  </sheetViews>
  <sheetFormatPr defaultRowHeight="14.4" x14ac:dyDescent="0.3"/>
  <cols>
    <col min="1" max="1" width="12.5546875" bestFit="1" customWidth="1"/>
    <col min="2" max="2" width="9.21875" bestFit="1" customWidth="1"/>
  </cols>
  <sheetData>
    <row r="3" spans="1:2" x14ac:dyDescent="0.3">
      <c r="A3" s="1" t="s">
        <v>64</v>
      </c>
      <c r="B3" t="s">
        <v>69</v>
      </c>
    </row>
    <row r="4" spans="1:2" x14ac:dyDescent="0.3">
      <c r="A4" s="2" t="s">
        <v>14</v>
      </c>
      <c r="B4" s="4">
        <v>589</v>
      </c>
    </row>
    <row r="5" spans="1:2" x14ac:dyDescent="0.3">
      <c r="A5" s="2" t="s">
        <v>46</v>
      </c>
      <c r="B5" s="4">
        <v>415</v>
      </c>
    </row>
    <row r="6" spans="1:2" x14ac:dyDescent="0.3">
      <c r="A6" s="2" t="s">
        <v>39</v>
      </c>
      <c r="B6" s="4">
        <v>304</v>
      </c>
    </row>
    <row r="7" spans="1:2" x14ac:dyDescent="0.3">
      <c r="A7" s="2" t="s">
        <v>40</v>
      </c>
      <c r="B7" s="4">
        <v>225</v>
      </c>
    </row>
    <row r="8" spans="1:2" x14ac:dyDescent="0.3">
      <c r="A8" s="2" t="s">
        <v>31</v>
      </c>
      <c r="B8" s="4">
        <v>183</v>
      </c>
    </row>
    <row r="9" spans="1:2" x14ac:dyDescent="0.3">
      <c r="A9" s="2" t="s">
        <v>57</v>
      </c>
      <c r="B9" s="4">
        <v>160</v>
      </c>
    </row>
    <row r="10" spans="1:2" x14ac:dyDescent="0.3">
      <c r="A10" s="2" t="s">
        <v>21</v>
      </c>
      <c r="B10" s="4">
        <v>154</v>
      </c>
    </row>
    <row r="11" spans="1:2" x14ac:dyDescent="0.3">
      <c r="A11" s="2" t="s">
        <v>43</v>
      </c>
      <c r="B11" s="4">
        <v>37</v>
      </c>
    </row>
    <row r="12" spans="1:2" x14ac:dyDescent="0.3">
      <c r="A12" s="2" t="s">
        <v>54</v>
      </c>
      <c r="B12" s="4">
        <v>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54A6-DA84-456D-85E2-5FEAB376EC0E}">
  <dimension ref="A3:C14"/>
  <sheetViews>
    <sheetView topLeftCell="D1" workbookViewId="0">
      <selection activeCell="M9" sqref="M9"/>
    </sheetView>
  </sheetViews>
  <sheetFormatPr defaultRowHeight="14.4" x14ac:dyDescent="0.3"/>
  <cols>
    <col min="1" max="1" width="12.5546875" bestFit="1" customWidth="1"/>
    <col min="2" max="2" width="16.5546875" bestFit="1" customWidth="1"/>
    <col min="3" max="3" width="19.77734375" bestFit="1" customWidth="1"/>
  </cols>
  <sheetData>
    <row r="3" spans="1:3" x14ac:dyDescent="0.3">
      <c r="A3" s="1" t="s">
        <v>64</v>
      </c>
      <c r="B3" t="s">
        <v>66</v>
      </c>
      <c r="C3" t="s">
        <v>67</v>
      </c>
    </row>
    <row r="4" spans="1:3" x14ac:dyDescent="0.3">
      <c r="A4" s="2" t="s">
        <v>13</v>
      </c>
      <c r="B4" s="7">
        <v>2183.12</v>
      </c>
      <c r="C4" s="3">
        <v>545.78</v>
      </c>
    </row>
    <row r="5" spans="1:3" x14ac:dyDescent="0.3">
      <c r="A5" s="2" t="s">
        <v>37</v>
      </c>
      <c r="B5" s="7">
        <v>1610.8100000000002</v>
      </c>
      <c r="C5" s="3">
        <v>402.70250000000004</v>
      </c>
    </row>
    <row r="6" spans="1:3" x14ac:dyDescent="0.3">
      <c r="A6" s="2" t="s">
        <v>49</v>
      </c>
      <c r="B6" s="7">
        <v>1451.72</v>
      </c>
      <c r="C6" s="3">
        <v>483.90666666666669</v>
      </c>
    </row>
    <row r="7" spans="1:3" x14ac:dyDescent="0.3">
      <c r="A7" s="2" t="s">
        <v>45</v>
      </c>
      <c r="B7" s="7">
        <v>1196.6799999999998</v>
      </c>
      <c r="C7" s="3">
        <v>299.16999999999996</v>
      </c>
    </row>
    <row r="8" spans="1:3" x14ac:dyDescent="0.3">
      <c r="A8" s="2" t="s">
        <v>42</v>
      </c>
      <c r="B8" s="7">
        <v>1136.72</v>
      </c>
      <c r="C8" s="3">
        <v>284.18</v>
      </c>
    </row>
    <row r="9" spans="1:3" x14ac:dyDescent="0.3">
      <c r="A9" s="2" t="s">
        <v>59</v>
      </c>
      <c r="B9" s="7">
        <v>1131.69</v>
      </c>
      <c r="C9" s="3">
        <v>377.23</v>
      </c>
    </row>
    <row r="10" spans="1:3" x14ac:dyDescent="0.3">
      <c r="A10" s="2" t="s">
        <v>53</v>
      </c>
      <c r="B10" s="7">
        <v>746.94</v>
      </c>
      <c r="C10" s="3">
        <v>373.47</v>
      </c>
    </row>
    <row r="11" spans="1:3" x14ac:dyDescent="0.3">
      <c r="A11" s="2" t="s">
        <v>27</v>
      </c>
      <c r="B11" s="7">
        <v>512.29</v>
      </c>
      <c r="C11" s="3">
        <v>512.29</v>
      </c>
    </row>
    <row r="12" spans="1:3" x14ac:dyDescent="0.3">
      <c r="A12" s="2" t="s">
        <v>56</v>
      </c>
      <c r="B12" s="7">
        <v>466.12</v>
      </c>
      <c r="C12" s="3">
        <v>233.06</v>
      </c>
    </row>
    <row r="13" spans="1:3" x14ac:dyDescent="0.3">
      <c r="A13" s="2" t="s">
        <v>63</v>
      </c>
      <c r="B13" s="7">
        <v>295.41000000000003</v>
      </c>
      <c r="C13" s="3">
        <v>295.41000000000003</v>
      </c>
    </row>
    <row r="14" spans="1:3" x14ac:dyDescent="0.3">
      <c r="A14" s="2" t="s">
        <v>65</v>
      </c>
      <c r="B14" s="7">
        <v>10731.499999999998</v>
      </c>
      <c r="C14" s="7">
        <v>383.26785714285705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2401E-BD1F-49F7-B080-03B08A098A1B}">
  <dimension ref="A3:B7"/>
  <sheetViews>
    <sheetView topLeftCell="A4" workbookViewId="0">
      <selection activeCell="N11" sqref="N11"/>
    </sheetView>
  </sheetViews>
  <sheetFormatPr defaultRowHeight="14.4" x14ac:dyDescent="0.3"/>
  <cols>
    <col min="1" max="1" width="12.77734375" bestFit="1" customWidth="1"/>
    <col min="2" max="2" width="25.21875" bestFit="1" customWidth="1"/>
  </cols>
  <sheetData>
    <row r="3" spans="1:2" x14ac:dyDescent="0.3">
      <c r="A3" s="1" t="s">
        <v>64</v>
      </c>
      <c r="B3" t="s">
        <v>71</v>
      </c>
    </row>
    <row r="4" spans="1:2" x14ac:dyDescent="0.3">
      <c r="A4" s="2" t="s">
        <v>73</v>
      </c>
      <c r="B4" s="3">
        <v>6.5666666666666664</v>
      </c>
    </row>
    <row r="5" spans="1:2" x14ac:dyDescent="0.3">
      <c r="A5" s="2" t="s">
        <v>74</v>
      </c>
      <c r="B5" s="3">
        <v>4.4250000000000007</v>
      </c>
    </row>
    <row r="6" spans="1:2" x14ac:dyDescent="0.3">
      <c r="A6" s="2" t="s">
        <v>72</v>
      </c>
      <c r="B6" s="3">
        <v>4.3142857142857141</v>
      </c>
    </row>
    <row r="7" spans="1:2" x14ac:dyDescent="0.3">
      <c r="A7" s="2" t="s">
        <v>75</v>
      </c>
      <c r="B7" s="3">
        <v>4.125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EEB84-C57D-4114-872C-F216479668B7}">
  <dimension ref="A3:B8"/>
  <sheetViews>
    <sheetView workbookViewId="0">
      <selection activeCell="M11" sqref="M11"/>
    </sheetView>
  </sheetViews>
  <sheetFormatPr defaultRowHeight="14.4" x14ac:dyDescent="0.3"/>
  <cols>
    <col min="1" max="1" width="12.5546875" bestFit="1" customWidth="1"/>
    <col min="2" max="2" width="25.21875" bestFit="1" customWidth="1"/>
  </cols>
  <sheetData>
    <row r="3" spans="1:2" x14ac:dyDescent="0.3">
      <c r="A3" s="1" t="s">
        <v>64</v>
      </c>
      <c r="B3" t="s">
        <v>71</v>
      </c>
    </row>
    <row r="4" spans="1:2" x14ac:dyDescent="0.3">
      <c r="A4" s="2" t="s">
        <v>16</v>
      </c>
      <c r="B4" s="3">
        <v>6.1749999999999998</v>
      </c>
    </row>
    <row r="5" spans="1:2" x14ac:dyDescent="0.3">
      <c r="A5" s="2" t="s">
        <v>47</v>
      </c>
      <c r="B5" s="3">
        <v>5.42</v>
      </c>
    </row>
    <row r="6" spans="1:2" x14ac:dyDescent="0.3">
      <c r="A6" s="2" t="s">
        <v>23</v>
      </c>
      <c r="B6" s="3">
        <v>4</v>
      </c>
    </row>
    <row r="7" spans="1:2" x14ac:dyDescent="0.3">
      <c r="A7" s="2" t="s">
        <v>33</v>
      </c>
      <c r="B7" s="3">
        <v>3.6666666666666661</v>
      </c>
    </row>
    <row r="8" spans="1:2" x14ac:dyDescent="0.3">
      <c r="A8" s="2" t="s">
        <v>41</v>
      </c>
      <c r="B8" s="3">
        <v>3.6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47C25-87B6-4C27-96C3-F33B680FAC71}">
  <dimension ref="A1:L151"/>
  <sheetViews>
    <sheetView workbookViewId="0">
      <selection activeCell="E14" sqref="E14"/>
    </sheetView>
  </sheetViews>
  <sheetFormatPr defaultRowHeight="14.4" x14ac:dyDescent="0.3"/>
  <cols>
    <col min="1" max="1" width="4" bestFit="1" customWidth="1"/>
    <col min="2" max="2" width="10" bestFit="1" customWidth="1"/>
    <col min="3" max="3" width="8.33203125" bestFit="1" customWidth="1"/>
    <col min="4" max="4" width="7.5546875" bestFit="1" customWidth="1"/>
    <col min="5" max="5" width="9.109375" bestFit="1" customWidth="1"/>
    <col min="6" max="6" width="10" bestFit="1" customWidth="1"/>
    <col min="7" max="7" width="7.44140625" bestFit="1" customWidth="1"/>
    <col min="8" max="8" width="11" bestFit="1" customWidth="1"/>
    <col min="9" max="9" width="9.5546875" bestFit="1" customWidth="1"/>
    <col min="10" max="10" width="14.88671875" bestFit="1" customWidth="1"/>
    <col min="11" max="11" width="15.109375" bestFit="1" customWidth="1"/>
    <col min="12" max="12" width="11.66406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t="s">
        <v>12</v>
      </c>
      <c r="C2" t="s">
        <v>13</v>
      </c>
      <c r="D2" t="s">
        <v>14</v>
      </c>
      <c r="E2" t="s">
        <v>15</v>
      </c>
      <c r="F2" t="s">
        <v>16</v>
      </c>
      <c r="G2" t="s">
        <v>17</v>
      </c>
      <c r="H2" t="s">
        <v>18</v>
      </c>
      <c r="I2">
        <v>244.06</v>
      </c>
      <c r="J2">
        <v>6</v>
      </c>
      <c r="K2">
        <v>4.9000000000000004</v>
      </c>
      <c r="L2" t="s">
        <v>19</v>
      </c>
    </row>
    <row r="3" spans="1:12" x14ac:dyDescent="0.3">
      <c r="A3">
        <v>2</v>
      </c>
      <c r="B3" t="s">
        <v>20</v>
      </c>
      <c r="C3" t="s">
        <v>13</v>
      </c>
      <c r="D3" t="s">
        <v>21</v>
      </c>
      <c r="E3" t="s">
        <v>22</v>
      </c>
      <c r="F3" t="s">
        <v>23</v>
      </c>
      <c r="G3" t="s">
        <v>24</v>
      </c>
      <c r="H3" t="s">
        <v>25</v>
      </c>
      <c r="I3">
        <v>366.73</v>
      </c>
      <c r="J3">
        <v>8.8000000000000007</v>
      </c>
      <c r="K3">
        <v>3.3</v>
      </c>
      <c r="L3" t="s">
        <v>19</v>
      </c>
    </row>
    <row r="4" spans="1:12" x14ac:dyDescent="0.3">
      <c r="A4">
        <v>3</v>
      </c>
      <c r="B4" t="s">
        <v>26</v>
      </c>
      <c r="C4" t="s">
        <v>27</v>
      </c>
      <c r="D4" t="s">
        <v>14</v>
      </c>
      <c r="E4" t="s">
        <v>28</v>
      </c>
      <c r="F4" t="s">
        <v>16</v>
      </c>
      <c r="G4" t="s">
        <v>29</v>
      </c>
      <c r="H4" t="s">
        <v>18</v>
      </c>
      <c r="I4">
        <v>741.55</v>
      </c>
      <c r="J4">
        <v>4.8</v>
      </c>
      <c r="K4">
        <v>3.5</v>
      </c>
      <c r="L4" t="s">
        <v>19</v>
      </c>
    </row>
    <row r="5" spans="1:12" x14ac:dyDescent="0.3">
      <c r="A5">
        <v>4</v>
      </c>
      <c r="B5" t="s">
        <v>30</v>
      </c>
      <c r="C5" t="s">
        <v>27</v>
      </c>
      <c r="D5" t="s">
        <v>31</v>
      </c>
      <c r="E5" t="s">
        <v>32</v>
      </c>
      <c r="F5" t="s">
        <v>33</v>
      </c>
      <c r="G5" t="s">
        <v>24</v>
      </c>
      <c r="H5" t="s">
        <v>34</v>
      </c>
      <c r="I5">
        <v>116.09</v>
      </c>
      <c r="J5">
        <v>7.5</v>
      </c>
      <c r="K5">
        <v>3.1</v>
      </c>
      <c r="L5" t="s">
        <v>35</v>
      </c>
    </row>
    <row r="6" spans="1:12" x14ac:dyDescent="0.3">
      <c r="A6">
        <v>5</v>
      </c>
      <c r="B6" t="s">
        <v>36</v>
      </c>
      <c r="C6" t="s">
        <v>37</v>
      </c>
      <c r="D6" t="s">
        <v>31</v>
      </c>
      <c r="E6" t="s">
        <v>32</v>
      </c>
      <c r="F6" t="s">
        <v>33</v>
      </c>
      <c r="G6" t="s">
        <v>29</v>
      </c>
      <c r="H6" t="s">
        <v>18</v>
      </c>
      <c r="I6">
        <v>193.16</v>
      </c>
      <c r="J6">
        <v>7.8</v>
      </c>
      <c r="K6">
        <v>4.3</v>
      </c>
      <c r="L6" t="s">
        <v>35</v>
      </c>
    </row>
    <row r="7" spans="1:12" x14ac:dyDescent="0.3">
      <c r="A7">
        <v>6</v>
      </c>
      <c r="B7" t="s">
        <v>38</v>
      </c>
      <c r="C7" t="s">
        <v>37</v>
      </c>
      <c r="D7" t="s">
        <v>39</v>
      </c>
      <c r="E7" t="s">
        <v>28</v>
      </c>
      <c r="F7" t="s">
        <v>33</v>
      </c>
      <c r="G7" t="s">
        <v>29</v>
      </c>
      <c r="H7" t="s">
        <v>18</v>
      </c>
      <c r="I7">
        <v>699.85</v>
      </c>
      <c r="J7">
        <v>1.7</v>
      </c>
      <c r="K7">
        <v>4.2</v>
      </c>
      <c r="L7" t="s">
        <v>35</v>
      </c>
    </row>
    <row r="8" spans="1:12" x14ac:dyDescent="0.3">
      <c r="A8">
        <v>7</v>
      </c>
      <c r="B8" t="s">
        <v>38</v>
      </c>
      <c r="C8" t="s">
        <v>27</v>
      </c>
      <c r="D8" t="s">
        <v>40</v>
      </c>
      <c r="E8" t="s">
        <v>28</v>
      </c>
      <c r="F8" t="s">
        <v>41</v>
      </c>
      <c r="G8" t="s">
        <v>24</v>
      </c>
      <c r="H8" t="s">
        <v>18</v>
      </c>
      <c r="I8">
        <v>497.79</v>
      </c>
      <c r="J8">
        <v>9.6999999999999993</v>
      </c>
      <c r="K8">
        <v>3</v>
      </c>
      <c r="L8" t="s">
        <v>19</v>
      </c>
    </row>
    <row r="9" spans="1:12" x14ac:dyDescent="0.3">
      <c r="A9">
        <v>8</v>
      </c>
      <c r="B9" t="s">
        <v>36</v>
      </c>
      <c r="C9" t="s">
        <v>42</v>
      </c>
      <c r="D9" t="s">
        <v>43</v>
      </c>
      <c r="E9" t="s">
        <v>44</v>
      </c>
      <c r="F9" t="s">
        <v>16</v>
      </c>
      <c r="G9" t="s">
        <v>29</v>
      </c>
      <c r="H9" t="s">
        <v>18</v>
      </c>
      <c r="I9">
        <v>579.37</v>
      </c>
      <c r="J9">
        <v>6.6</v>
      </c>
      <c r="K9">
        <v>3.8</v>
      </c>
      <c r="L9" t="s">
        <v>35</v>
      </c>
    </row>
    <row r="10" spans="1:12" x14ac:dyDescent="0.3">
      <c r="A10">
        <v>9</v>
      </c>
      <c r="B10" t="s">
        <v>20</v>
      </c>
      <c r="C10" t="s">
        <v>13</v>
      </c>
      <c r="D10" t="s">
        <v>14</v>
      </c>
      <c r="E10" t="s">
        <v>44</v>
      </c>
      <c r="F10" t="s">
        <v>41</v>
      </c>
      <c r="G10" t="s">
        <v>29</v>
      </c>
      <c r="H10" t="s">
        <v>34</v>
      </c>
      <c r="I10">
        <v>315.95999999999998</v>
      </c>
      <c r="J10">
        <v>6.2</v>
      </c>
      <c r="K10">
        <v>2.8</v>
      </c>
      <c r="L10" t="s">
        <v>35</v>
      </c>
    </row>
    <row r="11" spans="1:12" x14ac:dyDescent="0.3">
      <c r="A11">
        <v>10</v>
      </c>
      <c r="B11" t="s">
        <v>36</v>
      </c>
      <c r="C11" t="s">
        <v>45</v>
      </c>
      <c r="D11" t="s">
        <v>46</v>
      </c>
      <c r="E11" t="s">
        <v>22</v>
      </c>
      <c r="F11" t="s">
        <v>47</v>
      </c>
      <c r="G11" t="s">
        <v>29</v>
      </c>
      <c r="H11" t="s">
        <v>25</v>
      </c>
      <c r="I11">
        <v>468.58</v>
      </c>
      <c r="J11">
        <v>2.5</v>
      </c>
      <c r="K11">
        <v>4.9000000000000004</v>
      </c>
      <c r="L11" t="s">
        <v>48</v>
      </c>
    </row>
    <row r="12" spans="1:12" x14ac:dyDescent="0.3">
      <c r="A12">
        <v>11</v>
      </c>
      <c r="B12" t="s">
        <v>20</v>
      </c>
      <c r="C12" t="s">
        <v>49</v>
      </c>
      <c r="D12" t="s">
        <v>40</v>
      </c>
      <c r="E12" t="s">
        <v>44</v>
      </c>
      <c r="F12" t="s">
        <v>23</v>
      </c>
      <c r="G12" t="s">
        <v>29</v>
      </c>
      <c r="H12" t="s">
        <v>25</v>
      </c>
      <c r="I12">
        <v>452.18</v>
      </c>
      <c r="J12">
        <v>3.3</v>
      </c>
      <c r="K12">
        <v>2.6</v>
      </c>
      <c r="L12" t="s">
        <v>35</v>
      </c>
    </row>
    <row r="13" spans="1:12" x14ac:dyDescent="0.3">
      <c r="A13">
        <v>12</v>
      </c>
      <c r="B13" t="s">
        <v>12</v>
      </c>
      <c r="C13" t="s">
        <v>45</v>
      </c>
      <c r="D13" t="s">
        <v>50</v>
      </c>
      <c r="E13" t="s">
        <v>15</v>
      </c>
      <c r="F13" t="s">
        <v>16</v>
      </c>
      <c r="G13" t="s">
        <v>17</v>
      </c>
      <c r="H13" t="s">
        <v>34</v>
      </c>
      <c r="I13">
        <v>568.66</v>
      </c>
      <c r="J13">
        <v>2.6</v>
      </c>
      <c r="K13">
        <v>3.1</v>
      </c>
      <c r="L13" t="s">
        <v>51</v>
      </c>
    </row>
    <row r="14" spans="1:12" x14ac:dyDescent="0.3">
      <c r="A14">
        <v>13</v>
      </c>
      <c r="B14" t="s">
        <v>52</v>
      </c>
      <c r="C14" t="s">
        <v>53</v>
      </c>
      <c r="D14" t="s">
        <v>54</v>
      </c>
      <c r="E14" t="s">
        <v>32</v>
      </c>
      <c r="F14" t="s">
        <v>47</v>
      </c>
      <c r="G14" t="s">
        <v>24</v>
      </c>
      <c r="H14" t="s">
        <v>25</v>
      </c>
      <c r="I14">
        <v>532.16999999999996</v>
      </c>
      <c r="J14">
        <v>1.2</v>
      </c>
      <c r="K14">
        <v>2.5</v>
      </c>
      <c r="L14" t="s">
        <v>19</v>
      </c>
    </row>
    <row r="15" spans="1:12" x14ac:dyDescent="0.3">
      <c r="A15">
        <v>14</v>
      </c>
      <c r="B15" t="s">
        <v>36</v>
      </c>
      <c r="C15" t="s">
        <v>37</v>
      </c>
      <c r="D15" t="s">
        <v>54</v>
      </c>
      <c r="E15" t="s">
        <v>32</v>
      </c>
      <c r="F15" t="s">
        <v>16</v>
      </c>
      <c r="G15" t="s">
        <v>24</v>
      </c>
      <c r="H15" t="s">
        <v>18</v>
      </c>
      <c r="I15">
        <v>95.96</v>
      </c>
      <c r="J15">
        <v>2.4</v>
      </c>
      <c r="K15">
        <v>3.3</v>
      </c>
      <c r="L15" t="s">
        <v>48</v>
      </c>
    </row>
    <row r="16" spans="1:12" x14ac:dyDescent="0.3">
      <c r="A16">
        <v>15</v>
      </c>
      <c r="B16" t="s">
        <v>38</v>
      </c>
      <c r="C16" t="s">
        <v>13</v>
      </c>
      <c r="D16" t="s">
        <v>14</v>
      </c>
      <c r="E16" t="s">
        <v>32</v>
      </c>
      <c r="F16" t="s">
        <v>33</v>
      </c>
      <c r="G16" t="s">
        <v>29</v>
      </c>
      <c r="H16" t="s">
        <v>18</v>
      </c>
      <c r="I16">
        <v>735.62</v>
      </c>
      <c r="J16">
        <v>5.8</v>
      </c>
      <c r="K16">
        <v>4</v>
      </c>
      <c r="L16" t="s">
        <v>48</v>
      </c>
    </row>
    <row r="17" spans="1:12" x14ac:dyDescent="0.3">
      <c r="A17">
        <v>16</v>
      </c>
      <c r="B17" t="s">
        <v>38</v>
      </c>
      <c r="C17" t="s">
        <v>45</v>
      </c>
      <c r="D17" t="s">
        <v>14</v>
      </c>
      <c r="E17" t="s">
        <v>55</v>
      </c>
      <c r="F17" t="s">
        <v>33</v>
      </c>
      <c r="G17" t="s">
        <v>17</v>
      </c>
      <c r="H17" t="s">
        <v>25</v>
      </c>
      <c r="I17">
        <v>52.28</v>
      </c>
      <c r="J17">
        <v>3.9</v>
      </c>
      <c r="K17">
        <v>3.7</v>
      </c>
      <c r="L17" t="s">
        <v>48</v>
      </c>
    </row>
    <row r="18" spans="1:12" x14ac:dyDescent="0.3">
      <c r="A18">
        <v>17</v>
      </c>
      <c r="B18" t="s">
        <v>26</v>
      </c>
      <c r="C18" t="s">
        <v>56</v>
      </c>
      <c r="D18" t="s">
        <v>57</v>
      </c>
      <c r="E18" t="s">
        <v>28</v>
      </c>
      <c r="F18" t="s">
        <v>33</v>
      </c>
      <c r="G18" t="s">
        <v>24</v>
      </c>
      <c r="H18" t="s">
        <v>25</v>
      </c>
      <c r="I18">
        <v>694.54</v>
      </c>
      <c r="J18">
        <v>6.2</v>
      </c>
      <c r="K18">
        <v>3.1</v>
      </c>
      <c r="L18" t="s">
        <v>51</v>
      </c>
    </row>
    <row r="19" spans="1:12" x14ac:dyDescent="0.3">
      <c r="A19">
        <v>18</v>
      </c>
      <c r="B19" t="s">
        <v>12</v>
      </c>
      <c r="C19" t="s">
        <v>53</v>
      </c>
      <c r="D19" t="s">
        <v>57</v>
      </c>
      <c r="E19" t="s">
        <v>22</v>
      </c>
      <c r="F19" t="s">
        <v>41</v>
      </c>
      <c r="G19" t="s">
        <v>24</v>
      </c>
      <c r="H19" t="s">
        <v>18</v>
      </c>
      <c r="I19">
        <v>779.5</v>
      </c>
      <c r="J19">
        <v>2.5</v>
      </c>
      <c r="K19">
        <v>4.3</v>
      </c>
      <c r="L19" t="s">
        <v>19</v>
      </c>
    </row>
    <row r="20" spans="1:12" x14ac:dyDescent="0.3">
      <c r="A20">
        <v>19</v>
      </c>
      <c r="B20" t="s">
        <v>36</v>
      </c>
      <c r="C20" t="s">
        <v>53</v>
      </c>
      <c r="D20" t="s">
        <v>40</v>
      </c>
      <c r="E20" t="s">
        <v>32</v>
      </c>
      <c r="F20" t="s">
        <v>47</v>
      </c>
      <c r="G20" t="s">
        <v>17</v>
      </c>
      <c r="H20" t="s">
        <v>18</v>
      </c>
      <c r="I20">
        <v>640.65</v>
      </c>
      <c r="J20">
        <v>8.4</v>
      </c>
      <c r="K20">
        <v>4.0999999999999996</v>
      </c>
      <c r="L20" t="s">
        <v>35</v>
      </c>
    </row>
    <row r="21" spans="1:12" x14ac:dyDescent="0.3">
      <c r="A21">
        <v>20</v>
      </c>
      <c r="B21" t="s">
        <v>58</v>
      </c>
      <c r="C21" t="s">
        <v>42</v>
      </c>
      <c r="D21" t="s">
        <v>54</v>
      </c>
      <c r="E21" t="s">
        <v>55</v>
      </c>
      <c r="F21" t="s">
        <v>16</v>
      </c>
      <c r="G21" t="s">
        <v>17</v>
      </c>
      <c r="H21" t="s">
        <v>34</v>
      </c>
      <c r="I21">
        <v>702.19</v>
      </c>
      <c r="J21">
        <v>6.4</v>
      </c>
      <c r="K21">
        <v>3.2</v>
      </c>
      <c r="L21" t="s">
        <v>35</v>
      </c>
    </row>
    <row r="22" spans="1:12" x14ac:dyDescent="0.3">
      <c r="A22">
        <v>21</v>
      </c>
      <c r="B22" t="s">
        <v>58</v>
      </c>
      <c r="C22" t="s">
        <v>27</v>
      </c>
      <c r="D22" t="s">
        <v>21</v>
      </c>
      <c r="E22" t="s">
        <v>28</v>
      </c>
      <c r="F22" t="s">
        <v>33</v>
      </c>
      <c r="G22" t="s">
        <v>29</v>
      </c>
      <c r="H22" t="s">
        <v>34</v>
      </c>
      <c r="I22">
        <v>586.84</v>
      </c>
      <c r="J22">
        <v>6.4</v>
      </c>
      <c r="K22">
        <v>4.7</v>
      </c>
      <c r="L22" t="s">
        <v>51</v>
      </c>
    </row>
    <row r="23" spans="1:12" x14ac:dyDescent="0.3">
      <c r="A23">
        <v>22</v>
      </c>
      <c r="B23" t="s">
        <v>20</v>
      </c>
      <c r="C23" t="s">
        <v>27</v>
      </c>
      <c r="D23" t="s">
        <v>39</v>
      </c>
      <c r="E23" t="s">
        <v>22</v>
      </c>
      <c r="F23" t="s">
        <v>16</v>
      </c>
      <c r="G23" t="s">
        <v>29</v>
      </c>
      <c r="H23" t="s">
        <v>18</v>
      </c>
      <c r="I23">
        <v>134.66</v>
      </c>
      <c r="J23">
        <v>4.7</v>
      </c>
      <c r="K23">
        <v>3.3</v>
      </c>
      <c r="L23" t="s">
        <v>35</v>
      </c>
    </row>
    <row r="24" spans="1:12" x14ac:dyDescent="0.3">
      <c r="A24">
        <v>23</v>
      </c>
      <c r="B24" t="s">
        <v>30</v>
      </c>
      <c r="C24" t="s">
        <v>59</v>
      </c>
      <c r="D24" t="s">
        <v>54</v>
      </c>
      <c r="E24" t="s">
        <v>44</v>
      </c>
      <c r="F24" t="s">
        <v>41</v>
      </c>
      <c r="G24" t="s">
        <v>29</v>
      </c>
      <c r="H24" t="s">
        <v>18</v>
      </c>
      <c r="I24">
        <v>143.47999999999999</v>
      </c>
      <c r="J24">
        <v>6.5</v>
      </c>
      <c r="K24">
        <v>4.5</v>
      </c>
      <c r="L24" t="s">
        <v>51</v>
      </c>
    </row>
    <row r="25" spans="1:12" x14ac:dyDescent="0.3">
      <c r="A25">
        <v>24</v>
      </c>
      <c r="B25" t="s">
        <v>36</v>
      </c>
      <c r="C25" t="s">
        <v>37</v>
      </c>
      <c r="D25" t="s">
        <v>40</v>
      </c>
      <c r="E25" t="s">
        <v>44</v>
      </c>
      <c r="F25" t="s">
        <v>41</v>
      </c>
      <c r="G25" t="s">
        <v>29</v>
      </c>
      <c r="H25" t="s">
        <v>25</v>
      </c>
      <c r="I25">
        <v>359.6</v>
      </c>
      <c r="J25">
        <v>5.0999999999999996</v>
      </c>
      <c r="K25">
        <v>2.9</v>
      </c>
      <c r="L25" t="s">
        <v>35</v>
      </c>
    </row>
    <row r="26" spans="1:12" x14ac:dyDescent="0.3">
      <c r="A26">
        <v>25</v>
      </c>
      <c r="B26" t="s">
        <v>30</v>
      </c>
      <c r="C26" t="s">
        <v>56</v>
      </c>
      <c r="D26" t="s">
        <v>14</v>
      </c>
      <c r="E26" t="s">
        <v>32</v>
      </c>
      <c r="F26" t="s">
        <v>23</v>
      </c>
      <c r="G26" t="s">
        <v>24</v>
      </c>
      <c r="H26" t="s">
        <v>18</v>
      </c>
      <c r="I26">
        <v>657.77</v>
      </c>
      <c r="J26">
        <v>4.8</v>
      </c>
      <c r="K26">
        <v>4.4000000000000004</v>
      </c>
      <c r="L26" t="s">
        <v>51</v>
      </c>
    </row>
    <row r="27" spans="1:12" x14ac:dyDescent="0.3">
      <c r="A27">
        <v>26</v>
      </c>
      <c r="B27" t="s">
        <v>36</v>
      </c>
      <c r="C27" t="s">
        <v>42</v>
      </c>
      <c r="D27" t="s">
        <v>43</v>
      </c>
      <c r="E27" t="s">
        <v>15</v>
      </c>
      <c r="F27" t="s">
        <v>23</v>
      </c>
      <c r="G27" t="s">
        <v>17</v>
      </c>
      <c r="H27" t="s">
        <v>25</v>
      </c>
      <c r="I27">
        <v>628.75</v>
      </c>
      <c r="J27">
        <v>9.3000000000000007</v>
      </c>
      <c r="K27">
        <v>2.9</v>
      </c>
      <c r="L27" t="s">
        <v>51</v>
      </c>
    </row>
    <row r="28" spans="1:12" x14ac:dyDescent="0.3">
      <c r="A28">
        <v>27</v>
      </c>
      <c r="B28" t="s">
        <v>60</v>
      </c>
      <c r="C28" t="s">
        <v>45</v>
      </c>
      <c r="D28" t="s">
        <v>46</v>
      </c>
      <c r="E28" t="s">
        <v>15</v>
      </c>
      <c r="F28" t="s">
        <v>47</v>
      </c>
      <c r="G28" t="s">
        <v>24</v>
      </c>
      <c r="H28" t="s">
        <v>34</v>
      </c>
      <c r="I28">
        <v>146.36000000000001</v>
      </c>
      <c r="J28">
        <v>2.6</v>
      </c>
      <c r="K28">
        <v>3.6</v>
      </c>
      <c r="L28" t="s">
        <v>35</v>
      </c>
    </row>
    <row r="29" spans="1:12" x14ac:dyDescent="0.3">
      <c r="A29">
        <v>28</v>
      </c>
      <c r="B29" t="s">
        <v>12</v>
      </c>
      <c r="C29" t="s">
        <v>37</v>
      </c>
      <c r="D29" t="s">
        <v>39</v>
      </c>
      <c r="E29" t="s">
        <v>55</v>
      </c>
      <c r="F29" t="s">
        <v>41</v>
      </c>
      <c r="G29" t="s">
        <v>24</v>
      </c>
      <c r="H29" t="s">
        <v>25</v>
      </c>
      <c r="I29">
        <v>742.55</v>
      </c>
      <c r="J29">
        <v>9.5</v>
      </c>
      <c r="K29">
        <v>3.8</v>
      </c>
      <c r="L29" t="s">
        <v>19</v>
      </c>
    </row>
    <row r="30" spans="1:12" x14ac:dyDescent="0.3">
      <c r="A30">
        <v>29</v>
      </c>
      <c r="B30" t="s">
        <v>58</v>
      </c>
      <c r="C30" t="s">
        <v>56</v>
      </c>
      <c r="D30" t="s">
        <v>39</v>
      </c>
      <c r="E30" t="s">
        <v>32</v>
      </c>
      <c r="F30" t="s">
        <v>16</v>
      </c>
      <c r="G30" t="s">
        <v>29</v>
      </c>
      <c r="H30" t="s">
        <v>25</v>
      </c>
      <c r="I30">
        <v>269.24</v>
      </c>
      <c r="J30">
        <v>1.3</v>
      </c>
      <c r="K30">
        <v>3.5</v>
      </c>
      <c r="L30" t="s">
        <v>48</v>
      </c>
    </row>
    <row r="31" spans="1:12" x14ac:dyDescent="0.3">
      <c r="A31">
        <v>30</v>
      </c>
      <c r="B31" t="s">
        <v>36</v>
      </c>
      <c r="C31" t="s">
        <v>59</v>
      </c>
      <c r="D31" t="s">
        <v>39</v>
      </c>
      <c r="E31" t="s">
        <v>61</v>
      </c>
      <c r="F31" t="s">
        <v>16</v>
      </c>
      <c r="G31" t="s">
        <v>24</v>
      </c>
      <c r="H31" t="s">
        <v>18</v>
      </c>
      <c r="I31">
        <v>737.02</v>
      </c>
      <c r="J31">
        <v>7.7</v>
      </c>
      <c r="K31">
        <v>3.5</v>
      </c>
      <c r="L31" t="s">
        <v>35</v>
      </c>
    </row>
    <row r="32" spans="1:12" x14ac:dyDescent="0.3">
      <c r="A32">
        <v>31</v>
      </c>
      <c r="B32" t="s">
        <v>26</v>
      </c>
      <c r="C32" t="s">
        <v>49</v>
      </c>
      <c r="D32" t="s">
        <v>54</v>
      </c>
      <c r="E32" t="s">
        <v>15</v>
      </c>
      <c r="F32" t="s">
        <v>23</v>
      </c>
      <c r="G32" t="s">
        <v>24</v>
      </c>
      <c r="H32" t="s">
        <v>18</v>
      </c>
      <c r="I32">
        <v>716.93</v>
      </c>
      <c r="J32">
        <v>8.6</v>
      </c>
      <c r="K32">
        <v>4.0999999999999996</v>
      </c>
      <c r="L32" t="s">
        <v>19</v>
      </c>
    </row>
    <row r="33" spans="1:12" x14ac:dyDescent="0.3">
      <c r="A33">
        <v>32</v>
      </c>
      <c r="B33" t="s">
        <v>30</v>
      </c>
      <c r="C33" t="s">
        <v>42</v>
      </c>
      <c r="D33" t="s">
        <v>39</v>
      </c>
      <c r="E33" t="s">
        <v>32</v>
      </c>
      <c r="F33" t="s">
        <v>23</v>
      </c>
      <c r="G33" t="s">
        <v>24</v>
      </c>
      <c r="H33" t="s">
        <v>34</v>
      </c>
      <c r="I33">
        <v>730.08</v>
      </c>
      <c r="J33">
        <v>6</v>
      </c>
      <c r="K33">
        <v>3.4</v>
      </c>
      <c r="L33" t="s">
        <v>51</v>
      </c>
    </row>
    <row r="34" spans="1:12" x14ac:dyDescent="0.3">
      <c r="A34">
        <v>33</v>
      </c>
      <c r="B34" t="s">
        <v>30</v>
      </c>
      <c r="C34" t="s">
        <v>45</v>
      </c>
      <c r="D34" t="s">
        <v>21</v>
      </c>
      <c r="E34" t="s">
        <v>28</v>
      </c>
      <c r="F34" t="s">
        <v>41</v>
      </c>
      <c r="G34" t="s">
        <v>29</v>
      </c>
      <c r="H34" t="s">
        <v>18</v>
      </c>
      <c r="I34">
        <v>380.94</v>
      </c>
      <c r="J34">
        <v>9</v>
      </c>
      <c r="K34">
        <v>4.4000000000000004</v>
      </c>
      <c r="L34" t="s">
        <v>51</v>
      </c>
    </row>
    <row r="35" spans="1:12" x14ac:dyDescent="0.3">
      <c r="A35">
        <v>34</v>
      </c>
      <c r="B35" t="s">
        <v>58</v>
      </c>
      <c r="C35" t="s">
        <v>37</v>
      </c>
      <c r="D35" t="s">
        <v>21</v>
      </c>
      <c r="E35" t="s">
        <v>55</v>
      </c>
      <c r="F35" t="s">
        <v>16</v>
      </c>
      <c r="G35" t="s">
        <v>24</v>
      </c>
      <c r="H35" t="s">
        <v>18</v>
      </c>
      <c r="I35">
        <v>442.34</v>
      </c>
      <c r="J35">
        <v>8.5</v>
      </c>
      <c r="K35">
        <v>3</v>
      </c>
      <c r="L35" t="s">
        <v>51</v>
      </c>
    </row>
    <row r="36" spans="1:12" x14ac:dyDescent="0.3">
      <c r="A36">
        <v>35</v>
      </c>
      <c r="B36" t="s">
        <v>30</v>
      </c>
      <c r="C36" t="s">
        <v>59</v>
      </c>
      <c r="D36" t="s">
        <v>40</v>
      </c>
      <c r="E36" t="s">
        <v>44</v>
      </c>
      <c r="F36" t="s">
        <v>23</v>
      </c>
      <c r="G36" t="s">
        <v>17</v>
      </c>
      <c r="H36" t="s">
        <v>34</v>
      </c>
      <c r="I36">
        <v>658.41</v>
      </c>
      <c r="J36">
        <v>1.3</v>
      </c>
      <c r="K36">
        <v>4.0999999999999996</v>
      </c>
      <c r="L36" t="s">
        <v>48</v>
      </c>
    </row>
    <row r="37" spans="1:12" x14ac:dyDescent="0.3">
      <c r="A37">
        <v>36</v>
      </c>
      <c r="B37" t="s">
        <v>36</v>
      </c>
      <c r="C37" t="s">
        <v>37</v>
      </c>
      <c r="D37" t="s">
        <v>31</v>
      </c>
      <c r="E37" t="s">
        <v>15</v>
      </c>
      <c r="F37" t="s">
        <v>33</v>
      </c>
      <c r="G37" t="s">
        <v>17</v>
      </c>
      <c r="H37" t="s">
        <v>18</v>
      </c>
      <c r="I37">
        <v>441.74</v>
      </c>
      <c r="J37">
        <v>2.7</v>
      </c>
      <c r="K37">
        <v>4.8</v>
      </c>
      <c r="L37" t="s">
        <v>48</v>
      </c>
    </row>
    <row r="38" spans="1:12" x14ac:dyDescent="0.3">
      <c r="A38">
        <v>37</v>
      </c>
      <c r="B38" t="s">
        <v>20</v>
      </c>
      <c r="C38" t="s">
        <v>45</v>
      </c>
      <c r="D38" t="s">
        <v>43</v>
      </c>
      <c r="E38" t="s">
        <v>28</v>
      </c>
      <c r="F38" t="s">
        <v>33</v>
      </c>
      <c r="G38" t="s">
        <v>24</v>
      </c>
      <c r="H38" t="s">
        <v>34</v>
      </c>
      <c r="I38">
        <v>461.34</v>
      </c>
      <c r="J38">
        <v>3</v>
      </c>
      <c r="K38">
        <v>2.9</v>
      </c>
      <c r="L38" t="s">
        <v>48</v>
      </c>
    </row>
    <row r="39" spans="1:12" x14ac:dyDescent="0.3">
      <c r="A39">
        <v>38</v>
      </c>
      <c r="B39" t="s">
        <v>36</v>
      </c>
      <c r="C39" t="s">
        <v>42</v>
      </c>
      <c r="D39" t="s">
        <v>40</v>
      </c>
      <c r="E39" t="s">
        <v>32</v>
      </c>
      <c r="F39" t="s">
        <v>16</v>
      </c>
      <c r="G39" t="s">
        <v>24</v>
      </c>
      <c r="H39" t="s">
        <v>34</v>
      </c>
      <c r="I39">
        <v>338.89</v>
      </c>
      <c r="J39">
        <v>7.9</v>
      </c>
      <c r="K39">
        <v>3</v>
      </c>
      <c r="L39" t="s">
        <v>48</v>
      </c>
    </row>
    <row r="40" spans="1:12" x14ac:dyDescent="0.3">
      <c r="A40">
        <v>39</v>
      </c>
      <c r="B40" t="s">
        <v>20</v>
      </c>
      <c r="C40" t="s">
        <v>45</v>
      </c>
      <c r="D40" t="s">
        <v>14</v>
      </c>
      <c r="E40" t="s">
        <v>61</v>
      </c>
      <c r="F40" t="s">
        <v>47</v>
      </c>
      <c r="G40" t="s">
        <v>29</v>
      </c>
      <c r="H40" t="s">
        <v>25</v>
      </c>
      <c r="I40">
        <v>678.23</v>
      </c>
      <c r="J40">
        <v>6.6</v>
      </c>
      <c r="K40">
        <v>4.3</v>
      </c>
      <c r="L40" t="s">
        <v>35</v>
      </c>
    </row>
    <row r="41" spans="1:12" x14ac:dyDescent="0.3">
      <c r="A41">
        <v>40</v>
      </c>
      <c r="B41" t="s">
        <v>20</v>
      </c>
      <c r="C41" t="s">
        <v>49</v>
      </c>
      <c r="D41" t="s">
        <v>57</v>
      </c>
      <c r="E41" t="s">
        <v>61</v>
      </c>
      <c r="F41" t="s">
        <v>47</v>
      </c>
      <c r="G41" t="s">
        <v>17</v>
      </c>
      <c r="H41" t="s">
        <v>18</v>
      </c>
      <c r="I41">
        <v>645.24</v>
      </c>
      <c r="J41">
        <v>8</v>
      </c>
      <c r="K41">
        <v>4.7</v>
      </c>
      <c r="L41" t="s">
        <v>48</v>
      </c>
    </row>
    <row r="42" spans="1:12" x14ac:dyDescent="0.3">
      <c r="A42">
        <v>41</v>
      </c>
      <c r="B42" t="s">
        <v>52</v>
      </c>
      <c r="C42" t="s">
        <v>53</v>
      </c>
      <c r="D42" t="s">
        <v>43</v>
      </c>
      <c r="E42" t="s">
        <v>44</v>
      </c>
      <c r="F42" t="s">
        <v>16</v>
      </c>
      <c r="G42" t="s">
        <v>24</v>
      </c>
      <c r="H42" t="s">
        <v>34</v>
      </c>
      <c r="I42">
        <v>384.3</v>
      </c>
      <c r="J42">
        <v>4.9000000000000004</v>
      </c>
      <c r="K42">
        <v>3.5</v>
      </c>
      <c r="L42" t="s">
        <v>51</v>
      </c>
    </row>
    <row r="43" spans="1:12" x14ac:dyDescent="0.3">
      <c r="A43">
        <v>42</v>
      </c>
      <c r="B43" t="s">
        <v>30</v>
      </c>
      <c r="C43" t="s">
        <v>59</v>
      </c>
      <c r="D43" t="s">
        <v>40</v>
      </c>
      <c r="E43" t="s">
        <v>28</v>
      </c>
      <c r="F43" t="s">
        <v>47</v>
      </c>
      <c r="G43" t="s">
        <v>17</v>
      </c>
      <c r="H43" t="s">
        <v>34</v>
      </c>
      <c r="I43">
        <v>248</v>
      </c>
      <c r="J43">
        <v>8.6</v>
      </c>
      <c r="K43">
        <v>2.8</v>
      </c>
      <c r="L43" t="s">
        <v>48</v>
      </c>
    </row>
    <row r="44" spans="1:12" x14ac:dyDescent="0.3">
      <c r="A44">
        <v>43</v>
      </c>
      <c r="B44" t="s">
        <v>52</v>
      </c>
      <c r="C44" t="s">
        <v>49</v>
      </c>
      <c r="D44" t="s">
        <v>31</v>
      </c>
      <c r="E44" t="s">
        <v>22</v>
      </c>
      <c r="F44" t="s">
        <v>23</v>
      </c>
      <c r="G44" t="s">
        <v>17</v>
      </c>
      <c r="H44" t="s">
        <v>25</v>
      </c>
      <c r="I44">
        <v>399.37</v>
      </c>
      <c r="J44">
        <v>9.1999999999999993</v>
      </c>
      <c r="K44">
        <v>3.8</v>
      </c>
      <c r="L44" t="s">
        <v>48</v>
      </c>
    </row>
    <row r="45" spans="1:12" x14ac:dyDescent="0.3">
      <c r="A45">
        <v>44</v>
      </c>
      <c r="B45" t="s">
        <v>20</v>
      </c>
      <c r="C45" t="s">
        <v>42</v>
      </c>
      <c r="D45" t="s">
        <v>54</v>
      </c>
      <c r="E45" t="s">
        <v>32</v>
      </c>
      <c r="F45" t="s">
        <v>16</v>
      </c>
      <c r="G45" t="s">
        <v>17</v>
      </c>
      <c r="H45" t="s">
        <v>34</v>
      </c>
      <c r="I45">
        <v>233.34</v>
      </c>
      <c r="J45">
        <v>3</v>
      </c>
      <c r="K45">
        <v>4.4000000000000004</v>
      </c>
      <c r="L45" t="s">
        <v>19</v>
      </c>
    </row>
    <row r="46" spans="1:12" x14ac:dyDescent="0.3">
      <c r="A46">
        <v>45</v>
      </c>
      <c r="B46" t="s">
        <v>62</v>
      </c>
      <c r="C46" t="s">
        <v>49</v>
      </c>
      <c r="D46" t="s">
        <v>31</v>
      </c>
      <c r="E46" t="s">
        <v>55</v>
      </c>
      <c r="F46" t="s">
        <v>23</v>
      </c>
      <c r="G46" t="s">
        <v>17</v>
      </c>
      <c r="H46" t="s">
        <v>25</v>
      </c>
      <c r="I46">
        <v>710.14</v>
      </c>
      <c r="J46">
        <v>4</v>
      </c>
      <c r="K46">
        <v>4.5</v>
      </c>
      <c r="L46" t="s">
        <v>35</v>
      </c>
    </row>
    <row r="47" spans="1:12" x14ac:dyDescent="0.3">
      <c r="A47">
        <v>46</v>
      </c>
      <c r="B47" t="s">
        <v>26</v>
      </c>
      <c r="C47" t="s">
        <v>42</v>
      </c>
      <c r="D47" t="s">
        <v>40</v>
      </c>
      <c r="E47" t="s">
        <v>22</v>
      </c>
      <c r="F47" t="s">
        <v>16</v>
      </c>
      <c r="G47" t="s">
        <v>29</v>
      </c>
      <c r="H47" t="s">
        <v>18</v>
      </c>
      <c r="I47">
        <v>328.83</v>
      </c>
      <c r="J47">
        <v>7</v>
      </c>
      <c r="K47">
        <v>4.5999999999999996</v>
      </c>
      <c r="L47" t="s">
        <v>19</v>
      </c>
    </row>
    <row r="48" spans="1:12" x14ac:dyDescent="0.3">
      <c r="A48">
        <v>47</v>
      </c>
      <c r="B48" t="s">
        <v>20</v>
      </c>
      <c r="C48" t="s">
        <v>37</v>
      </c>
      <c r="D48" t="s">
        <v>46</v>
      </c>
      <c r="E48" t="s">
        <v>44</v>
      </c>
      <c r="F48" t="s">
        <v>47</v>
      </c>
      <c r="G48" t="s">
        <v>29</v>
      </c>
      <c r="H48" t="s">
        <v>34</v>
      </c>
      <c r="I48">
        <v>530.44000000000005</v>
      </c>
      <c r="J48">
        <v>3.7</v>
      </c>
      <c r="K48">
        <v>3.3</v>
      </c>
      <c r="L48" t="s">
        <v>48</v>
      </c>
    </row>
    <row r="49" spans="1:12" x14ac:dyDescent="0.3">
      <c r="A49">
        <v>48</v>
      </c>
      <c r="B49" t="s">
        <v>52</v>
      </c>
      <c r="C49" t="s">
        <v>49</v>
      </c>
      <c r="D49" t="s">
        <v>14</v>
      </c>
      <c r="E49" t="s">
        <v>28</v>
      </c>
      <c r="F49" t="s">
        <v>23</v>
      </c>
      <c r="G49" t="s">
        <v>24</v>
      </c>
      <c r="H49" t="s">
        <v>25</v>
      </c>
      <c r="I49">
        <v>118.72</v>
      </c>
      <c r="J49">
        <v>9.3000000000000007</v>
      </c>
      <c r="K49">
        <v>2.8</v>
      </c>
      <c r="L49" t="s">
        <v>51</v>
      </c>
    </row>
    <row r="50" spans="1:12" x14ac:dyDescent="0.3">
      <c r="A50">
        <v>49</v>
      </c>
      <c r="B50" t="s">
        <v>62</v>
      </c>
      <c r="C50" t="s">
        <v>13</v>
      </c>
      <c r="D50" t="s">
        <v>14</v>
      </c>
      <c r="E50" t="s">
        <v>44</v>
      </c>
      <c r="F50" t="s">
        <v>41</v>
      </c>
      <c r="G50" t="s">
        <v>17</v>
      </c>
      <c r="H50" t="s">
        <v>25</v>
      </c>
      <c r="I50">
        <v>77.510000000000005</v>
      </c>
      <c r="J50">
        <v>6.9</v>
      </c>
      <c r="K50">
        <v>3.4</v>
      </c>
      <c r="L50" t="s">
        <v>19</v>
      </c>
    </row>
    <row r="51" spans="1:12" x14ac:dyDescent="0.3">
      <c r="A51">
        <v>50</v>
      </c>
      <c r="B51" t="s">
        <v>62</v>
      </c>
      <c r="C51" t="s">
        <v>63</v>
      </c>
      <c r="D51" t="s">
        <v>31</v>
      </c>
      <c r="E51" t="s">
        <v>32</v>
      </c>
      <c r="F51" t="s">
        <v>23</v>
      </c>
      <c r="G51" t="s">
        <v>29</v>
      </c>
      <c r="H51" t="s">
        <v>25</v>
      </c>
      <c r="I51">
        <v>414.74</v>
      </c>
      <c r="J51">
        <v>9.4</v>
      </c>
      <c r="K51">
        <v>3</v>
      </c>
      <c r="L51" t="s">
        <v>19</v>
      </c>
    </row>
    <row r="52" spans="1:12" x14ac:dyDescent="0.3">
      <c r="A52">
        <v>51</v>
      </c>
      <c r="B52" t="s">
        <v>52</v>
      </c>
      <c r="C52" t="s">
        <v>13</v>
      </c>
      <c r="D52" t="s">
        <v>39</v>
      </c>
      <c r="E52" t="s">
        <v>61</v>
      </c>
      <c r="F52" t="s">
        <v>41</v>
      </c>
      <c r="G52" t="s">
        <v>29</v>
      </c>
      <c r="H52" t="s">
        <v>34</v>
      </c>
      <c r="I52">
        <v>318.42</v>
      </c>
      <c r="J52">
        <v>9.4</v>
      </c>
      <c r="K52">
        <v>4.7</v>
      </c>
      <c r="L52" t="s">
        <v>35</v>
      </c>
    </row>
    <row r="53" spans="1:12" x14ac:dyDescent="0.3">
      <c r="A53">
        <v>52</v>
      </c>
      <c r="B53" t="s">
        <v>26</v>
      </c>
      <c r="C53" t="s">
        <v>59</v>
      </c>
      <c r="D53" t="s">
        <v>54</v>
      </c>
      <c r="E53" t="s">
        <v>22</v>
      </c>
      <c r="F53" t="s">
        <v>33</v>
      </c>
      <c r="G53" t="s">
        <v>29</v>
      </c>
      <c r="H53" t="s">
        <v>18</v>
      </c>
      <c r="I53">
        <v>632.30999999999995</v>
      </c>
      <c r="J53">
        <v>8.4</v>
      </c>
      <c r="K53">
        <v>4.7</v>
      </c>
      <c r="L53" t="s">
        <v>19</v>
      </c>
    </row>
    <row r="54" spans="1:12" x14ac:dyDescent="0.3">
      <c r="A54">
        <v>53</v>
      </c>
      <c r="B54" t="s">
        <v>62</v>
      </c>
      <c r="C54" t="s">
        <v>45</v>
      </c>
      <c r="D54" t="s">
        <v>31</v>
      </c>
      <c r="E54" t="s">
        <v>55</v>
      </c>
      <c r="F54" t="s">
        <v>47</v>
      </c>
      <c r="G54" t="s">
        <v>24</v>
      </c>
      <c r="H54" t="s">
        <v>18</v>
      </c>
      <c r="I54">
        <v>239.64</v>
      </c>
      <c r="J54">
        <v>2.4</v>
      </c>
      <c r="K54">
        <v>3</v>
      </c>
      <c r="L54" t="s">
        <v>19</v>
      </c>
    </row>
    <row r="55" spans="1:12" x14ac:dyDescent="0.3">
      <c r="A55">
        <v>54</v>
      </c>
      <c r="B55" t="s">
        <v>58</v>
      </c>
      <c r="C55" t="s">
        <v>27</v>
      </c>
      <c r="D55" t="s">
        <v>39</v>
      </c>
      <c r="E55" t="s">
        <v>55</v>
      </c>
      <c r="F55" t="s">
        <v>33</v>
      </c>
      <c r="G55" t="s">
        <v>24</v>
      </c>
      <c r="H55" t="s">
        <v>34</v>
      </c>
      <c r="I55">
        <v>788.03</v>
      </c>
      <c r="J55">
        <v>6.1</v>
      </c>
      <c r="K55">
        <v>3.2</v>
      </c>
      <c r="L55" t="s">
        <v>51</v>
      </c>
    </row>
    <row r="56" spans="1:12" x14ac:dyDescent="0.3">
      <c r="A56">
        <v>55</v>
      </c>
      <c r="B56" t="s">
        <v>30</v>
      </c>
      <c r="C56" t="s">
        <v>42</v>
      </c>
      <c r="D56" t="s">
        <v>39</v>
      </c>
      <c r="E56" t="s">
        <v>55</v>
      </c>
      <c r="F56" t="s">
        <v>47</v>
      </c>
      <c r="G56" t="s">
        <v>24</v>
      </c>
      <c r="H56" t="s">
        <v>18</v>
      </c>
      <c r="I56">
        <v>100.02</v>
      </c>
      <c r="J56">
        <v>3.1</v>
      </c>
      <c r="K56">
        <v>4.4000000000000004</v>
      </c>
      <c r="L56" t="s">
        <v>35</v>
      </c>
    </row>
    <row r="57" spans="1:12" x14ac:dyDescent="0.3">
      <c r="A57">
        <v>56</v>
      </c>
      <c r="B57" t="s">
        <v>58</v>
      </c>
      <c r="C57" t="s">
        <v>63</v>
      </c>
      <c r="D57" t="s">
        <v>54</v>
      </c>
      <c r="E57" t="s">
        <v>44</v>
      </c>
      <c r="F57" t="s">
        <v>33</v>
      </c>
      <c r="G57" t="s">
        <v>24</v>
      </c>
      <c r="H57" t="s">
        <v>25</v>
      </c>
      <c r="I57">
        <v>342.14</v>
      </c>
      <c r="J57">
        <v>5.2</v>
      </c>
      <c r="K57">
        <v>2.8</v>
      </c>
      <c r="L57" t="s">
        <v>35</v>
      </c>
    </row>
    <row r="58" spans="1:12" x14ac:dyDescent="0.3">
      <c r="A58">
        <v>57</v>
      </c>
      <c r="B58" t="s">
        <v>38</v>
      </c>
      <c r="C58" t="s">
        <v>27</v>
      </c>
      <c r="D58" t="s">
        <v>39</v>
      </c>
      <c r="E58" t="s">
        <v>22</v>
      </c>
      <c r="F58" t="s">
        <v>23</v>
      </c>
      <c r="G58" t="s">
        <v>17</v>
      </c>
      <c r="H58" t="s">
        <v>25</v>
      </c>
      <c r="I58">
        <v>747.33</v>
      </c>
      <c r="J58">
        <v>1.8</v>
      </c>
      <c r="K58">
        <v>5</v>
      </c>
      <c r="L58" t="s">
        <v>19</v>
      </c>
    </row>
    <row r="59" spans="1:12" x14ac:dyDescent="0.3">
      <c r="A59">
        <v>58</v>
      </c>
      <c r="B59" t="s">
        <v>58</v>
      </c>
      <c r="C59" t="s">
        <v>56</v>
      </c>
      <c r="D59" t="s">
        <v>50</v>
      </c>
      <c r="E59" t="s">
        <v>44</v>
      </c>
      <c r="F59" t="s">
        <v>16</v>
      </c>
      <c r="G59" t="s">
        <v>29</v>
      </c>
      <c r="H59" t="s">
        <v>34</v>
      </c>
      <c r="I59">
        <v>106.07</v>
      </c>
      <c r="J59">
        <v>3.7</v>
      </c>
      <c r="K59">
        <v>4.0999999999999996</v>
      </c>
      <c r="L59" t="s">
        <v>19</v>
      </c>
    </row>
    <row r="60" spans="1:12" x14ac:dyDescent="0.3">
      <c r="A60">
        <v>59</v>
      </c>
      <c r="B60" t="s">
        <v>30</v>
      </c>
      <c r="C60" t="s">
        <v>53</v>
      </c>
      <c r="D60" t="s">
        <v>54</v>
      </c>
      <c r="E60" t="s">
        <v>15</v>
      </c>
      <c r="F60" t="s">
        <v>47</v>
      </c>
      <c r="G60" t="s">
        <v>24</v>
      </c>
      <c r="H60" t="s">
        <v>34</v>
      </c>
      <c r="I60">
        <v>316.58</v>
      </c>
      <c r="J60">
        <v>4.9000000000000004</v>
      </c>
      <c r="K60">
        <v>2.6</v>
      </c>
      <c r="L60" t="s">
        <v>19</v>
      </c>
    </row>
    <row r="61" spans="1:12" x14ac:dyDescent="0.3">
      <c r="A61">
        <v>60</v>
      </c>
      <c r="B61" t="s">
        <v>52</v>
      </c>
      <c r="C61" t="s">
        <v>56</v>
      </c>
      <c r="D61" t="s">
        <v>50</v>
      </c>
      <c r="E61" t="s">
        <v>32</v>
      </c>
      <c r="F61" t="s">
        <v>23</v>
      </c>
      <c r="G61" t="s">
        <v>29</v>
      </c>
      <c r="H61" t="s">
        <v>25</v>
      </c>
      <c r="I61">
        <v>63.68</v>
      </c>
      <c r="J61">
        <v>9.6999999999999993</v>
      </c>
      <c r="K61">
        <v>4.4000000000000004</v>
      </c>
      <c r="L61" t="s">
        <v>19</v>
      </c>
    </row>
    <row r="62" spans="1:12" x14ac:dyDescent="0.3">
      <c r="A62">
        <v>61</v>
      </c>
      <c r="B62" t="s">
        <v>36</v>
      </c>
      <c r="C62" t="s">
        <v>37</v>
      </c>
      <c r="D62" t="s">
        <v>21</v>
      </c>
      <c r="E62" t="s">
        <v>32</v>
      </c>
      <c r="F62" t="s">
        <v>23</v>
      </c>
      <c r="G62" t="s">
        <v>29</v>
      </c>
      <c r="H62" t="s">
        <v>18</v>
      </c>
      <c r="I62">
        <v>350.2</v>
      </c>
      <c r="J62">
        <v>7.8</v>
      </c>
      <c r="K62">
        <v>3.8</v>
      </c>
      <c r="L62" t="s">
        <v>35</v>
      </c>
    </row>
    <row r="63" spans="1:12" x14ac:dyDescent="0.3">
      <c r="A63">
        <v>62</v>
      </c>
      <c r="B63" t="s">
        <v>26</v>
      </c>
      <c r="C63" t="s">
        <v>37</v>
      </c>
      <c r="D63" t="s">
        <v>40</v>
      </c>
      <c r="E63" t="s">
        <v>15</v>
      </c>
      <c r="F63" t="s">
        <v>23</v>
      </c>
      <c r="G63" t="s">
        <v>29</v>
      </c>
      <c r="H63" t="s">
        <v>25</v>
      </c>
      <c r="I63">
        <v>389.24</v>
      </c>
      <c r="J63">
        <v>6.4</v>
      </c>
      <c r="K63">
        <v>4.7</v>
      </c>
      <c r="L63" t="s">
        <v>35</v>
      </c>
    </row>
    <row r="64" spans="1:12" x14ac:dyDescent="0.3">
      <c r="A64">
        <v>63</v>
      </c>
      <c r="B64" t="s">
        <v>58</v>
      </c>
      <c r="C64" t="s">
        <v>53</v>
      </c>
      <c r="D64" t="s">
        <v>39</v>
      </c>
      <c r="E64" t="s">
        <v>55</v>
      </c>
      <c r="F64" t="s">
        <v>41</v>
      </c>
      <c r="G64" t="s">
        <v>17</v>
      </c>
      <c r="H64" t="s">
        <v>18</v>
      </c>
      <c r="I64">
        <v>79.86</v>
      </c>
      <c r="J64">
        <v>2.6</v>
      </c>
      <c r="K64">
        <v>4.5</v>
      </c>
      <c r="L64" t="s">
        <v>51</v>
      </c>
    </row>
    <row r="65" spans="1:12" x14ac:dyDescent="0.3">
      <c r="A65">
        <v>64</v>
      </c>
      <c r="B65" t="s">
        <v>62</v>
      </c>
      <c r="C65" t="s">
        <v>63</v>
      </c>
      <c r="D65" t="s">
        <v>21</v>
      </c>
      <c r="E65" t="s">
        <v>61</v>
      </c>
      <c r="F65" t="s">
        <v>16</v>
      </c>
      <c r="G65" t="s">
        <v>29</v>
      </c>
      <c r="H65" t="s">
        <v>34</v>
      </c>
      <c r="I65">
        <v>385.11</v>
      </c>
      <c r="J65">
        <v>3.2</v>
      </c>
      <c r="K65">
        <v>2.6</v>
      </c>
      <c r="L65" t="s">
        <v>51</v>
      </c>
    </row>
    <row r="66" spans="1:12" x14ac:dyDescent="0.3">
      <c r="A66">
        <v>65</v>
      </c>
      <c r="B66" t="s">
        <v>58</v>
      </c>
      <c r="C66" t="s">
        <v>56</v>
      </c>
      <c r="D66" t="s">
        <v>43</v>
      </c>
      <c r="E66" t="s">
        <v>22</v>
      </c>
      <c r="F66" t="s">
        <v>33</v>
      </c>
      <c r="G66" t="s">
        <v>29</v>
      </c>
      <c r="H66" t="s">
        <v>34</v>
      </c>
      <c r="I66">
        <v>634.77</v>
      </c>
      <c r="J66">
        <v>2.6</v>
      </c>
      <c r="K66">
        <v>4.8</v>
      </c>
      <c r="L66" t="s">
        <v>51</v>
      </c>
    </row>
    <row r="67" spans="1:12" x14ac:dyDescent="0.3">
      <c r="A67">
        <v>66</v>
      </c>
      <c r="B67" t="s">
        <v>36</v>
      </c>
      <c r="C67" t="s">
        <v>63</v>
      </c>
      <c r="D67" t="s">
        <v>57</v>
      </c>
      <c r="E67" t="s">
        <v>44</v>
      </c>
      <c r="F67" t="s">
        <v>23</v>
      </c>
      <c r="G67" t="s">
        <v>17</v>
      </c>
      <c r="H67" t="s">
        <v>18</v>
      </c>
      <c r="I67">
        <v>447.81</v>
      </c>
      <c r="J67">
        <v>4.3</v>
      </c>
      <c r="K67">
        <v>3.9</v>
      </c>
      <c r="L67" t="s">
        <v>35</v>
      </c>
    </row>
    <row r="68" spans="1:12" x14ac:dyDescent="0.3">
      <c r="A68">
        <v>67</v>
      </c>
      <c r="B68" t="s">
        <v>30</v>
      </c>
      <c r="C68" t="s">
        <v>56</v>
      </c>
      <c r="D68" t="s">
        <v>57</v>
      </c>
      <c r="E68" t="s">
        <v>61</v>
      </c>
      <c r="F68" t="s">
        <v>16</v>
      </c>
      <c r="G68" t="s">
        <v>24</v>
      </c>
      <c r="H68" t="s">
        <v>25</v>
      </c>
      <c r="I68">
        <v>365.88</v>
      </c>
      <c r="J68">
        <v>9</v>
      </c>
      <c r="K68">
        <v>4</v>
      </c>
      <c r="L68" t="s">
        <v>19</v>
      </c>
    </row>
    <row r="69" spans="1:12" x14ac:dyDescent="0.3">
      <c r="A69">
        <v>68</v>
      </c>
      <c r="B69" t="s">
        <v>52</v>
      </c>
      <c r="C69" t="s">
        <v>13</v>
      </c>
      <c r="D69" t="s">
        <v>54</v>
      </c>
      <c r="E69" t="s">
        <v>28</v>
      </c>
      <c r="F69" t="s">
        <v>23</v>
      </c>
      <c r="G69" t="s">
        <v>24</v>
      </c>
      <c r="H69" t="s">
        <v>18</v>
      </c>
      <c r="I69">
        <v>739.46</v>
      </c>
      <c r="J69">
        <v>1.3</v>
      </c>
      <c r="K69">
        <v>2.8</v>
      </c>
      <c r="L69" t="s">
        <v>35</v>
      </c>
    </row>
    <row r="70" spans="1:12" x14ac:dyDescent="0.3">
      <c r="A70">
        <v>69</v>
      </c>
      <c r="B70" t="s">
        <v>38</v>
      </c>
      <c r="C70" t="s">
        <v>59</v>
      </c>
      <c r="D70" t="s">
        <v>43</v>
      </c>
      <c r="E70" t="s">
        <v>61</v>
      </c>
      <c r="F70" t="s">
        <v>41</v>
      </c>
      <c r="G70" t="s">
        <v>17</v>
      </c>
      <c r="H70" t="s">
        <v>25</v>
      </c>
      <c r="I70">
        <v>632.49</v>
      </c>
      <c r="J70">
        <v>8.3000000000000007</v>
      </c>
      <c r="K70">
        <v>3.9</v>
      </c>
      <c r="L70" t="s">
        <v>35</v>
      </c>
    </row>
    <row r="71" spans="1:12" x14ac:dyDescent="0.3">
      <c r="A71">
        <v>70</v>
      </c>
      <c r="B71" t="s">
        <v>36</v>
      </c>
      <c r="C71" t="s">
        <v>45</v>
      </c>
      <c r="D71" t="s">
        <v>43</v>
      </c>
      <c r="E71" t="s">
        <v>32</v>
      </c>
      <c r="F71" t="s">
        <v>33</v>
      </c>
      <c r="G71" t="s">
        <v>17</v>
      </c>
      <c r="H71" t="s">
        <v>25</v>
      </c>
      <c r="I71">
        <v>487.93</v>
      </c>
      <c r="J71">
        <v>9.8000000000000007</v>
      </c>
      <c r="K71">
        <v>3.5</v>
      </c>
      <c r="L71" t="s">
        <v>19</v>
      </c>
    </row>
    <row r="72" spans="1:12" x14ac:dyDescent="0.3">
      <c r="A72">
        <v>71</v>
      </c>
      <c r="B72" t="s">
        <v>36</v>
      </c>
      <c r="C72" t="s">
        <v>63</v>
      </c>
      <c r="D72" t="s">
        <v>43</v>
      </c>
      <c r="E72" t="s">
        <v>22</v>
      </c>
      <c r="F72" t="s">
        <v>41</v>
      </c>
      <c r="G72" t="s">
        <v>24</v>
      </c>
      <c r="H72" t="s">
        <v>34</v>
      </c>
      <c r="I72">
        <v>690.95</v>
      </c>
      <c r="J72">
        <v>7.3</v>
      </c>
      <c r="K72">
        <v>4</v>
      </c>
      <c r="L72" t="s">
        <v>19</v>
      </c>
    </row>
    <row r="73" spans="1:12" x14ac:dyDescent="0.3">
      <c r="A73">
        <v>72</v>
      </c>
      <c r="B73" t="s">
        <v>30</v>
      </c>
      <c r="C73" t="s">
        <v>53</v>
      </c>
      <c r="D73" t="s">
        <v>21</v>
      </c>
      <c r="E73" t="s">
        <v>22</v>
      </c>
      <c r="F73" t="s">
        <v>23</v>
      </c>
      <c r="G73" t="s">
        <v>17</v>
      </c>
      <c r="H73" t="s">
        <v>25</v>
      </c>
      <c r="I73">
        <v>536.20000000000005</v>
      </c>
      <c r="J73">
        <v>1.5</v>
      </c>
      <c r="K73">
        <v>3.4</v>
      </c>
      <c r="L73" t="s">
        <v>48</v>
      </c>
    </row>
    <row r="74" spans="1:12" x14ac:dyDescent="0.3">
      <c r="A74">
        <v>73</v>
      </c>
      <c r="B74" t="s">
        <v>58</v>
      </c>
      <c r="C74" t="s">
        <v>56</v>
      </c>
      <c r="D74" t="s">
        <v>46</v>
      </c>
      <c r="E74" t="s">
        <v>15</v>
      </c>
      <c r="F74" t="s">
        <v>23</v>
      </c>
      <c r="G74" t="s">
        <v>17</v>
      </c>
      <c r="H74" t="s">
        <v>18</v>
      </c>
      <c r="I74">
        <v>499.38</v>
      </c>
      <c r="J74">
        <v>3.4</v>
      </c>
      <c r="K74">
        <v>4.5999999999999996</v>
      </c>
      <c r="L74" t="s">
        <v>19</v>
      </c>
    </row>
    <row r="75" spans="1:12" x14ac:dyDescent="0.3">
      <c r="A75">
        <v>74</v>
      </c>
      <c r="B75" t="s">
        <v>12</v>
      </c>
      <c r="C75" t="s">
        <v>53</v>
      </c>
      <c r="D75" t="s">
        <v>50</v>
      </c>
      <c r="E75" t="s">
        <v>15</v>
      </c>
      <c r="F75" t="s">
        <v>16</v>
      </c>
      <c r="G75" t="s">
        <v>29</v>
      </c>
      <c r="H75" t="s">
        <v>18</v>
      </c>
      <c r="I75">
        <v>771.33</v>
      </c>
      <c r="J75">
        <v>5.4</v>
      </c>
      <c r="K75">
        <v>3.6</v>
      </c>
      <c r="L75" t="s">
        <v>51</v>
      </c>
    </row>
    <row r="76" spans="1:12" x14ac:dyDescent="0.3">
      <c r="A76">
        <v>75</v>
      </c>
      <c r="B76" t="s">
        <v>26</v>
      </c>
      <c r="C76" t="s">
        <v>49</v>
      </c>
      <c r="D76" t="s">
        <v>54</v>
      </c>
      <c r="E76" t="s">
        <v>44</v>
      </c>
      <c r="F76" t="s">
        <v>16</v>
      </c>
      <c r="G76" t="s">
        <v>17</v>
      </c>
      <c r="H76" t="s">
        <v>18</v>
      </c>
      <c r="I76">
        <v>575.38</v>
      </c>
      <c r="J76">
        <v>5</v>
      </c>
      <c r="K76">
        <v>4.4000000000000004</v>
      </c>
      <c r="L76" t="s">
        <v>19</v>
      </c>
    </row>
    <row r="77" spans="1:12" x14ac:dyDescent="0.3">
      <c r="A77">
        <v>76</v>
      </c>
      <c r="B77" t="s">
        <v>38</v>
      </c>
      <c r="C77" t="s">
        <v>49</v>
      </c>
      <c r="D77" t="s">
        <v>40</v>
      </c>
      <c r="E77" t="s">
        <v>32</v>
      </c>
      <c r="F77" t="s">
        <v>23</v>
      </c>
      <c r="G77" t="s">
        <v>17</v>
      </c>
      <c r="H77" t="s">
        <v>34</v>
      </c>
      <c r="I77">
        <v>629.22</v>
      </c>
      <c r="J77">
        <v>1.1000000000000001</v>
      </c>
      <c r="K77">
        <v>5</v>
      </c>
      <c r="L77" t="s">
        <v>35</v>
      </c>
    </row>
    <row r="78" spans="1:12" x14ac:dyDescent="0.3">
      <c r="A78">
        <v>77</v>
      </c>
      <c r="B78" t="s">
        <v>62</v>
      </c>
      <c r="C78" t="s">
        <v>63</v>
      </c>
      <c r="D78" t="s">
        <v>50</v>
      </c>
      <c r="E78" t="s">
        <v>32</v>
      </c>
      <c r="F78" t="s">
        <v>16</v>
      </c>
      <c r="G78" t="s">
        <v>24</v>
      </c>
      <c r="H78" t="s">
        <v>34</v>
      </c>
      <c r="I78">
        <v>81.77</v>
      </c>
      <c r="J78">
        <v>7.3</v>
      </c>
      <c r="K78">
        <v>3.7</v>
      </c>
      <c r="L78" t="s">
        <v>51</v>
      </c>
    </row>
    <row r="79" spans="1:12" x14ac:dyDescent="0.3">
      <c r="A79">
        <v>78</v>
      </c>
      <c r="B79" t="s">
        <v>30</v>
      </c>
      <c r="C79" t="s">
        <v>27</v>
      </c>
      <c r="D79" t="s">
        <v>40</v>
      </c>
      <c r="E79" t="s">
        <v>22</v>
      </c>
      <c r="F79" t="s">
        <v>16</v>
      </c>
      <c r="G79" t="s">
        <v>29</v>
      </c>
      <c r="H79" t="s">
        <v>34</v>
      </c>
      <c r="I79">
        <v>351.42</v>
      </c>
      <c r="J79">
        <v>9.9</v>
      </c>
      <c r="K79">
        <v>3.6</v>
      </c>
      <c r="L79" t="s">
        <v>35</v>
      </c>
    </row>
    <row r="80" spans="1:12" x14ac:dyDescent="0.3">
      <c r="A80">
        <v>79</v>
      </c>
      <c r="B80" t="s">
        <v>26</v>
      </c>
      <c r="C80" t="s">
        <v>13</v>
      </c>
      <c r="D80" t="s">
        <v>57</v>
      </c>
      <c r="E80" t="s">
        <v>44</v>
      </c>
      <c r="F80" t="s">
        <v>47</v>
      </c>
      <c r="G80" t="s">
        <v>29</v>
      </c>
      <c r="H80" t="s">
        <v>34</v>
      </c>
      <c r="I80">
        <v>331.34</v>
      </c>
      <c r="J80">
        <v>9.1</v>
      </c>
      <c r="K80">
        <v>4.0999999999999996</v>
      </c>
      <c r="L80" t="s">
        <v>19</v>
      </c>
    </row>
    <row r="81" spans="1:12" x14ac:dyDescent="0.3">
      <c r="A81">
        <v>80</v>
      </c>
      <c r="B81" t="s">
        <v>26</v>
      </c>
      <c r="C81" t="s">
        <v>13</v>
      </c>
      <c r="D81" t="s">
        <v>57</v>
      </c>
      <c r="E81" t="s">
        <v>44</v>
      </c>
      <c r="F81" t="s">
        <v>47</v>
      </c>
      <c r="G81" t="s">
        <v>17</v>
      </c>
      <c r="H81" t="s">
        <v>25</v>
      </c>
      <c r="I81">
        <v>407.91</v>
      </c>
      <c r="J81">
        <v>1.3</v>
      </c>
      <c r="K81">
        <v>3.3</v>
      </c>
      <c r="L81" t="s">
        <v>19</v>
      </c>
    </row>
    <row r="82" spans="1:12" x14ac:dyDescent="0.3">
      <c r="A82">
        <v>81</v>
      </c>
      <c r="B82" t="s">
        <v>36</v>
      </c>
      <c r="C82" t="s">
        <v>13</v>
      </c>
      <c r="D82" t="s">
        <v>54</v>
      </c>
      <c r="E82" t="s">
        <v>15</v>
      </c>
      <c r="F82" t="s">
        <v>23</v>
      </c>
      <c r="G82" t="s">
        <v>24</v>
      </c>
      <c r="H82" t="s">
        <v>34</v>
      </c>
      <c r="I82">
        <v>30.07</v>
      </c>
      <c r="J82">
        <v>4.9000000000000004</v>
      </c>
      <c r="K82">
        <v>2.7</v>
      </c>
      <c r="L82" t="s">
        <v>35</v>
      </c>
    </row>
    <row r="83" spans="1:12" x14ac:dyDescent="0.3">
      <c r="A83">
        <v>82</v>
      </c>
      <c r="B83" t="s">
        <v>60</v>
      </c>
      <c r="C83" t="s">
        <v>53</v>
      </c>
      <c r="D83" t="s">
        <v>21</v>
      </c>
      <c r="E83" t="s">
        <v>32</v>
      </c>
      <c r="F83" t="s">
        <v>16</v>
      </c>
      <c r="G83" t="s">
        <v>29</v>
      </c>
      <c r="H83" t="s">
        <v>25</v>
      </c>
      <c r="I83">
        <v>210.74</v>
      </c>
      <c r="J83">
        <v>9.6</v>
      </c>
      <c r="K83">
        <v>3.8</v>
      </c>
      <c r="L83" t="s">
        <v>48</v>
      </c>
    </row>
    <row r="84" spans="1:12" x14ac:dyDescent="0.3">
      <c r="A84">
        <v>83</v>
      </c>
      <c r="B84" t="s">
        <v>38</v>
      </c>
      <c r="C84" t="s">
        <v>45</v>
      </c>
      <c r="D84" t="s">
        <v>50</v>
      </c>
      <c r="E84" t="s">
        <v>61</v>
      </c>
      <c r="F84" t="s">
        <v>16</v>
      </c>
      <c r="G84" t="s">
        <v>17</v>
      </c>
      <c r="H84" t="s">
        <v>18</v>
      </c>
      <c r="I84">
        <v>198.07</v>
      </c>
      <c r="J84">
        <v>4.3</v>
      </c>
      <c r="K84">
        <v>4.0999999999999996</v>
      </c>
      <c r="L84" t="s">
        <v>19</v>
      </c>
    </row>
    <row r="85" spans="1:12" x14ac:dyDescent="0.3">
      <c r="A85">
        <v>84</v>
      </c>
      <c r="B85" t="s">
        <v>62</v>
      </c>
      <c r="C85" t="s">
        <v>53</v>
      </c>
      <c r="D85" t="s">
        <v>21</v>
      </c>
      <c r="E85" t="s">
        <v>44</v>
      </c>
      <c r="F85" t="s">
        <v>16</v>
      </c>
      <c r="G85" t="s">
        <v>29</v>
      </c>
      <c r="H85" t="s">
        <v>34</v>
      </c>
      <c r="I85">
        <v>435.24</v>
      </c>
      <c r="J85">
        <v>7.7</v>
      </c>
      <c r="K85">
        <v>3.5</v>
      </c>
      <c r="L85" t="s">
        <v>35</v>
      </c>
    </row>
    <row r="86" spans="1:12" x14ac:dyDescent="0.3">
      <c r="A86">
        <v>85</v>
      </c>
      <c r="B86" t="s">
        <v>58</v>
      </c>
      <c r="C86" t="s">
        <v>45</v>
      </c>
      <c r="D86" t="s">
        <v>50</v>
      </c>
      <c r="E86" t="s">
        <v>28</v>
      </c>
      <c r="F86" t="s">
        <v>23</v>
      </c>
      <c r="G86" t="s">
        <v>29</v>
      </c>
      <c r="H86" t="s">
        <v>25</v>
      </c>
      <c r="I86">
        <v>752</v>
      </c>
      <c r="J86">
        <v>3.8</v>
      </c>
      <c r="K86">
        <v>5</v>
      </c>
      <c r="L86" t="s">
        <v>19</v>
      </c>
    </row>
    <row r="87" spans="1:12" x14ac:dyDescent="0.3">
      <c r="A87">
        <v>86</v>
      </c>
      <c r="B87" t="s">
        <v>36</v>
      </c>
      <c r="C87" t="s">
        <v>42</v>
      </c>
      <c r="D87" t="s">
        <v>57</v>
      </c>
      <c r="E87" t="s">
        <v>61</v>
      </c>
      <c r="F87" t="s">
        <v>33</v>
      </c>
      <c r="G87" t="s">
        <v>29</v>
      </c>
      <c r="H87" t="s">
        <v>34</v>
      </c>
      <c r="I87">
        <v>559.9</v>
      </c>
      <c r="J87">
        <v>9.5</v>
      </c>
      <c r="K87">
        <v>4.9000000000000004</v>
      </c>
      <c r="L87" t="s">
        <v>19</v>
      </c>
    </row>
    <row r="88" spans="1:12" x14ac:dyDescent="0.3">
      <c r="A88">
        <v>87</v>
      </c>
      <c r="B88" t="s">
        <v>26</v>
      </c>
      <c r="C88" t="s">
        <v>42</v>
      </c>
      <c r="D88" t="s">
        <v>39</v>
      </c>
      <c r="E88" t="s">
        <v>28</v>
      </c>
      <c r="F88" t="s">
        <v>41</v>
      </c>
      <c r="G88" t="s">
        <v>17</v>
      </c>
      <c r="H88" t="s">
        <v>34</v>
      </c>
      <c r="I88">
        <v>65.260000000000005</v>
      </c>
      <c r="J88">
        <v>6.7</v>
      </c>
      <c r="K88">
        <v>3.3</v>
      </c>
      <c r="L88" t="s">
        <v>35</v>
      </c>
    </row>
    <row r="89" spans="1:12" x14ac:dyDescent="0.3">
      <c r="A89">
        <v>88</v>
      </c>
      <c r="B89" t="s">
        <v>30</v>
      </c>
      <c r="C89" t="s">
        <v>37</v>
      </c>
      <c r="D89" t="s">
        <v>57</v>
      </c>
      <c r="E89" t="s">
        <v>44</v>
      </c>
      <c r="F89" t="s">
        <v>41</v>
      </c>
      <c r="G89" t="s">
        <v>29</v>
      </c>
      <c r="H89" t="s">
        <v>25</v>
      </c>
      <c r="I89">
        <v>125.25</v>
      </c>
      <c r="J89">
        <v>4</v>
      </c>
      <c r="K89">
        <v>4.4000000000000004</v>
      </c>
      <c r="L89" t="s">
        <v>51</v>
      </c>
    </row>
    <row r="90" spans="1:12" x14ac:dyDescent="0.3">
      <c r="A90">
        <v>89</v>
      </c>
      <c r="B90" t="s">
        <v>52</v>
      </c>
      <c r="C90" t="s">
        <v>49</v>
      </c>
      <c r="D90" t="s">
        <v>14</v>
      </c>
      <c r="E90" t="s">
        <v>15</v>
      </c>
      <c r="F90" t="s">
        <v>47</v>
      </c>
      <c r="G90" t="s">
        <v>17</v>
      </c>
      <c r="H90" t="s">
        <v>34</v>
      </c>
      <c r="I90">
        <v>72.010000000000005</v>
      </c>
      <c r="J90">
        <v>6.8</v>
      </c>
      <c r="K90">
        <v>3.7</v>
      </c>
      <c r="L90" t="s">
        <v>19</v>
      </c>
    </row>
    <row r="91" spans="1:12" x14ac:dyDescent="0.3">
      <c r="A91">
        <v>90</v>
      </c>
      <c r="B91" t="s">
        <v>20</v>
      </c>
      <c r="C91" t="s">
        <v>42</v>
      </c>
      <c r="D91" t="s">
        <v>39</v>
      </c>
      <c r="E91" t="s">
        <v>15</v>
      </c>
      <c r="F91" t="s">
        <v>23</v>
      </c>
      <c r="G91" t="s">
        <v>17</v>
      </c>
      <c r="H91" t="s">
        <v>18</v>
      </c>
      <c r="I91">
        <v>632.52</v>
      </c>
      <c r="J91">
        <v>9</v>
      </c>
      <c r="K91">
        <v>4.8</v>
      </c>
      <c r="L91" t="s">
        <v>51</v>
      </c>
    </row>
    <row r="92" spans="1:12" x14ac:dyDescent="0.3">
      <c r="A92">
        <v>91</v>
      </c>
      <c r="B92" t="s">
        <v>36</v>
      </c>
      <c r="C92" t="s">
        <v>27</v>
      </c>
      <c r="D92" t="s">
        <v>54</v>
      </c>
      <c r="E92" t="s">
        <v>55</v>
      </c>
      <c r="F92" t="s">
        <v>33</v>
      </c>
      <c r="G92" t="s">
        <v>29</v>
      </c>
      <c r="H92" t="s">
        <v>25</v>
      </c>
      <c r="I92">
        <v>532.99</v>
      </c>
      <c r="J92">
        <v>9.4</v>
      </c>
      <c r="K92">
        <v>3.1</v>
      </c>
      <c r="L92" t="s">
        <v>51</v>
      </c>
    </row>
    <row r="93" spans="1:12" x14ac:dyDescent="0.3">
      <c r="A93">
        <v>92</v>
      </c>
      <c r="B93" t="s">
        <v>62</v>
      </c>
      <c r="C93" t="s">
        <v>59</v>
      </c>
      <c r="D93" t="s">
        <v>39</v>
      </c>
      <c r="E93" t="s">
        <v>28</v>
      </c>
      <c r="F93" t="s">
        <v>47</v>
      </c>
      <c r="G93" t="s">
        <v>17</v>
      </c>
      <c r="H93" t="s">
        <v>34</v>
      </c>
      <c r="I93">
        <v>705.85</v>
      </c>
      <c r="J93">
        <v>1.8</v>
      </c>
      <c r="K93">
        <v>3.7</v>
      </c>
      <c r="L93" t="s">
        <v>19</v>
      </c>
    </row>
    <row r="94" spans="1:12" x14ac:dyDescent="0.3">
      <c r="A94">
        <v>93</v>
      </c>
      <c r="B94" t="s">
        <v>38</v>
      </c>
      <c r="C94" t="s">
        <v>13</v>
      </c>
      <c r="D94" t="s">
        <v>14</v>
      </c>
      <c r="E94" t="s">
        <v>32</v>
      </c>
      <c r="F94" t="s">
        <v>47</v>
      </c>
      <c r="G94" t="s">
        <v>17</v>
      </c>
      <c r="H94" t="s">
        <v>25</v>
      </c>
      <c r="I94">
        <v>677.98</v>
      </c>
      <c r="J94">
        <v>1.4</v>
      </c>
      <c r="K94">
        <v>4.8</v>
      </c>
      <c r="L94" t="s">
        <v>48</v>
      </c>
    </row>
    <row r="95" spans="1:12" x14ac:dyDescent="0.3">
      <c r="A95">
        <v>94</v>
      </c>
      <c r="B95" t="s">
        <v>36</v>
      </c>
      <c r="C95" t="s">
        <v>45</v>
      </c>
      <c r="D95" t="s">
        <v>43</v>
      </c>
      <c r="E95" t="s">
        <v>28</v>
      </c>
      <c r="F95" t="s">
        <v>33</v>
      </c>
      <c r="G95" t="s">
        <v>24</v>
      </c>
      <c r="H95" t="s">
        <v>34</v>
      </c>
      <c r="I95">
        <v>321.89999999999998</v>
      </c>
      <c r="J95">
        <v>6.5</v>
      </c>
      <c r="K95">
        <v>4</v>
      </c>
      <c r="L95" t="s">
        <v>35</v>
      </c>
    </row>
    <row r="96" spans="1:12" x14ac:dyDescent="0.3">
      <c r="A96">
        <v>95</v>
      </c>
      <c r="B96" t="s">
        <v>20</v>
      </c>
      <c r="C96" t="s">
        <v>59</v>
      </c>
      <c r="D96" t="s">
        <v>43</v>
      </c>
      <c r="E96" t="s">
        <v>32</v>
      </c>
      <c r="F96" t="s">
        <v>33</v>
      </c>
      <c r="G96" t="s">
        <v>24</v>
      </c>
      <c r="H96" t="s">
        <v>18</v>
      </c>
      <c r="I96">
        <v>513.28</v>
      </c>
      <c r="J96">
        <v>2.7</v>
      </c>
      <c r="K96">
        <v>3.1</v>
      </c>
      <c r="L96" t="s">
        <v>51</v>
      </c>
    </row>
    <row r="97" spans="1:12" x14ac:dyDescent="0.3">
      <c r="A97">
        <v>96</v>
      </c>
      <c r="B97" t="s">
        <v>38</v>
      </c>
      <c r="C97" t="s">
        <v>45</v>
      </c>
      <c r="D97" t="s">
        <v>43</v>
      </c>
      <c r="E97" t="s">
        <v>44</v>
      </c>
      <c r="F97" t="s">
        <v>47</v>
      </c>
      <c r="G97" t="s">
        <v>17</v>
      </c>
      <c r="H97" t="s">
        <v>18</v>
      </c>
      <c r="I97">
        <v>738.25</v>
      </c>
      <c r="J97">
        <v>3.3</v>
      </c>
      <c r="K97">
        <v>3.5</v>
      </c>
      <c r="L97" t="s">
        <v>19</v>
      </c>
    </row>
    <row r="98" spans="1:12" x14ac:dyDescent="0.3">
      <c r="A98">
        <v>97</v>
      </c>
      <c r="B98" t="s">
        <v>60</v>
      </c>
      <c r="C98" t="s">
        <v>42</v>
      </c>
      <c r="D98" t="s">
        <v>14</v>
      </c>
      <c r="E98" t="s">
        <v>61</v>
      </c>
      <c r="F98" t="s">
        <v>16</v>
      </c>
      <c r="G98" t="s">
        <v>17</v>
      </c>
      <c r="H98" t="s">
        <v>25</v>
      </c>
      <c r="I98">
        <v>241.85</v>
      </c>
      <c r="J98">
        <v>6.1</v>
      </c>
      <c r="K98">
        <v>3</v>
      </c>
      <c r="L98" t="s">
        <v>48</v>
      </c>
    </row>
    <row r="99" spans="1:12" x14ac:dyDescent="0.3">
      <c r="A99">
        <v>98</v>
      </c>
      <c r="B99" t="s">
        <v>62</v>
      </c>
      <c r="C99" t="s">
        <v>45</v>
      </c>
      <c r="D99" t="s">
        <v>14</v>
      </c>
      <c r="E99" t="s">
        <v>22</v>
      </c>
      <c r="F99" t="s">
        <v>16</v>
      </c>
      <c r="G99" t="s">
        <v>17</v>
      </c>
      <c r="H99" t="s">
        <v>34</v>
      </c>
      <c r="I99">
        <v>782.43</v>
      </c>
      <c r="J99">
        <v>8.3000000000000007</v>
      </c>
      <c r="K99">
        <v>2.8</v>
      </c>
      <c r="L99" t="s">
        <v>35</v>
      </c>
    </row>
    <row r="100" spans="1:12" x14ac:dyDescent="0.3">
      <c r="A100">
        <v>99</v>
      </c>
      <c r="B100" t="s">
        <v>52</v>
      </c>
      <c r="C100" t="s">
        <v>37</v>
      </c>
      <c r="D100" t="s">
        <v>54</v>
      </c>
      <c r="E100" t="s">
        <v>55</v>
      </c>
      <c r="F100" t="s">
        <v>33</v>
      </c>
      <c r="G100" t="s">
        <v>29</v>
      </c>
      <c r="H100" t="s">
        <v>34</v>
      </c>
      <c r="I100">
        <v>444.81</v>
      </c>
      <c r="J100">
        <v>7.7</v>
      </c>
      <c r="K100">
        <v>3.2</v>
      </c>
      <c r="L100" t="s">
        <v>51</v>
      </c>
    </row>
    <row r="101" spans="1:12" x14ac:dyDescent="0.3">
      <c r="A101">
        <v>100</v>
      </c>
      <c r="B101" t="s">
        <v>30</v>
      </c>
      <c r="C101" t="s">
        <v>37</v>
      </c>
      <c r="D101" t="s">
        <v>46</v>
      </c>
      <c r="E101" t="s">
        <v>61</v>
      </c>
      <c r="F101" t="s">
        <v>41</v>
      </c>
      <c r="G101" t="s">
        <v>17</v>
      </c>
      <c r="H101" t="s">
        <v>25</v>
      </c>
      <c r="I101">
        <v>69.14</v>
      </c>
      <c r="J101">
        <v>4.0999999999999996</v>
      </c>
      <c r="K101">
        <v>4.9000000000000004</v>
      </c>
      <c r="L101" t="s">
        <v>51</v>
      </c>
    </row>
    <row r="102" spans="1:12" x14ac:dyDescent="0.3">
      <c r="A102">
        <v>101</v>
      </c>
      <c r="B102" t="s">
        <v>36</v>
      </c>
      <c r="C102" t="s">
        <v>13</v>
      </c>
      <c r="D102" t="s">
        <v>14</v>
      </c>
      <c r="E102" t="s">
        <v>28</v>
      </c>
      <c r="F102" t="s">
        <v>16</v>
      </c>
      <c r="G102" t="s">
        <v>29</v>
      </c>
      <c r="H102" t="s">
        <v>25</v>
      </c>
      <c r="I102">
        <v>488.02</v>
      </c>
      <c r="J102">
        <v>9.8000000000000007</v>
      </c>
      <c r="K102">
        <v>2.6</v>
      </c>
      <c r="L102" t="s">
        <v>48</v>
      </c>
    </row>
    <row r="103" spans="1:12" x14ac:dyDescent="0.3">
      <c r="A103">
        <v>102</v>
      </c>
      <c r="B103" t="s">
        <v>52</v>
      </c>
      <c r="C103" t="s">
        <v>13</v>
      </c>
      <c r="D103" t="s">
        <v>57</v>
      </c>
      <c r="E103" t="s">
        <v>44</v>
      </c>
      <c r="F103" t="s">
        <v>47</v>
      </c>
      <c r="G103" t="s">
        <v>17</v>
      </c>
      <c r="H103" t="s">
        <v>34</v>
      </c>
      <c r="I103">
        <v>559.21</v>
      </c>
      <c r="J103">
        <v>6.2</v>
      </c>
      <c r="K103">
        <v>4.8</v>
      </c>
      <c r="L103" t="s">
        <v>19</v>
      </c>
    </row>
    <row r="104" spans="1:12" x14ac:dyDescent="0.3">
      <c r="A104">
        <v>103</v>
      </c>
      <c r="B104" t="s">
        <v>36</v>
      </c>
      <c r="C104" t="s">
        <v>53</v>
      </c>
      <c r="D104" t="s">
        <v>21</v>
      </c>
      <c r="E104" t="s">
        <v>44</v>
      </c>
      <c r="F104" t="s">
        <v>33</v>
      </c>
      <c r="G104" t="s">
        <v>17</v>
      </c>
      <c r="H104" t="s">
        <v>34</v>
      </c>
      <c r="I104">
        <v>554.73</v>
      </c>
      <c r="J104">
        <v>5.7</v>
      </c>
      <c r="K104">
        <v>4.7</v>
      </c>
      <c r="L104" t="s">
        <v>35</v>
      </c>
    </row>
    <row r="105" spans="1:12" x14ac:dyDescent="0.3">
      <c r="A105">
        <v>104</v>
      </c>
      <c r="B105" t="s">
        <v>36</v>
      </c>
      <c r="C105" t="s">
        <v>59</v>
      </c>
      <c r="D105" t="s">
        <v>31</v>
      </c>
      <c r="E105" t="s">
        <v>28</v>
      </c>
      <c r="F105" t="s">
        <v>47</v>
      </c>
      <c r="G105" t="s">
        <v>17</v>
      </c>
      <c r="H105" t="s">
        <v>34</v>
      </c>
      <c r="I105">
        <v>225.28</v>
      </c>
      <c r="J105">
        <v>2.2000000000000002</v>
      </c>
      <c r="K105">
        <v>3.7</v>
      </c>
      <c r="L105" t="s">
        <v>48</v>
      </c>
    </row>
    <row r="106" spans="1:12" x14ac:dyDescent="0.3">
      <c r="A106">
        <v>105</v>
      </c>
      <c r="B106" t="s">
        <v>12</v>
      </c>
      <c r="C106" t="s">
        <v>56</v>
      </c>
      <c r="D106" t="s">
        <v>54</v>
      </c>
      <c r="E106" t="s">
        <v>28</v>
      </c>
      <c r="F106" t="s">
        <v>47</v>
      </c>
      <c r="G106" t="s">
        <v>17</v>
      </c>
      <c r="H106" t="s">
        <v>34</v>
      </c>
      <c r="I106">
        <v>771.22</v>
      </c>
      <c r="J106">
        <v>9.1999999999999993</v>
      </c>
      <c r="K106">
        <v>4.3</v>
      </c>
      <c r="L106" t="s">
        <v>35</v>
      </c>
    </row>
    <row r="107" spans="1:12" x14ac:dyDescent="0.3">
      <c r="A107">
        <v>106</v>
      </c>
      <c r="B107" t="s">
        <v>52</v>
      </c>
      <c r="C107" t="s">
        <v>45</v>
      </c>
      <c r="D107" t="s">
        <v>57</v>
      </c>
      <c r="E107" t="s">
        <v>15</v>
      </c>
      <c r="F107" t="s">
        <v>16</v>
      </c>
      <c r="G107" t="s">
        <v>29</v>
      </c>
      <c r="H107" t="s">
        <v>25</v>
      </c>
      <c r="I107">
        <v>446.46</v>
      </c>
      <c r="J107">
        <v>10</v>
      </c>
      <c r="K107">
        <v>2.7</v>
      </c>
      <c r="L107" t="s">
        <v>35</v>
      </c>
    </row>
    <row r="108" spans="1:12" x14ac:dyDescent="0.3">
      <c r="A108">
        <v>107</v>
      </c>
      <c r="B108" t="s">
        <v>60</v>
      </c>
      <c r="C108" t="s">
        <v>37</v>
      </c>
      <c r="D108" t="s">
        <v>46</v>
      </c>
      <c r="E108" t="s">
        <v>22</v>
      </c>
      <c r="F108" t="s">
        <v>47</v>
      </c>
      <c r="G108" t="s">
        <v>24</v>
      </c>
      <c r="H108" t="s">
        <v>18</v>
      </c>
      <c r="I108">
        <v>542.66999999999996</v>
      </c>
      <c r="J108">
        <v>5.9</v>
      </c>
      <c r="K108">
        <v>2.6</v>
      </c>
      <c r="L108" t="s">
        <v>48</v>
      </c>
    </row>
    <row r="109" spans="1:12" x14ac:dyDescent="0.3">
      <c r="A109">
        <v>108</v>
      </c>
      <c r="B109" t="s">
        <v>62</v>
      </c>
      <c r="C109" t="s">
        <v>49</v>
      </c>
      <c r="D109" t="s">
        <v>43</v>
      </c>
      <c r="E109" t="s">
        <v>61</v>
      </c>
      <c r="F109" t="s">
        <v>23</v>
      </c>
      <c r="G109" t="s">
        <v>17</v>
      </c>
      <c r="H109" t="s">
        <v>18</v>
      </c>
      <c r="I109">
        <v>155.85</v>
      </c>
      <c r="J109">
        <v>9.4</v>
      </c>
      <c r="K109">
        <v>3</v>
      </c>
      <c r="L109" t="s">
        <v>35</v>
      </c>
    </row>
    <row r="110" spans="1:12" x14ac:dyDescent="0.3">
      <c r="A110">
        <v>109</v>
      </c>
      <c r="B110" t="s">
        <v>52</v>
      </c>
      <c r="C110" t="s">
        <v>56</v>
      </c>
      <c r="D110" t="s">
        <v>46</v>
      </c>
      <c r="E110" t="s">
        <v>22</v>
      </c>
      <c r="F110" t="s">
        <v>47</v>
      </c>
      <c r="G110" t="s">
        <v>24</v>
      </c>
      <c r="H110" t="s">
        <v>18</v>
      </c>
      <c r="I110">
        <v>779.42</v>
      </c>
      <c r="J110">
        <v>4.5</v>
      </c>
      <c r="K110">
        <v>4.8</v>
      </c>
      <c r="L110" t="s">
        <v>19</v>
      </c>
    </row>
    <row r="111" spans="1:12" x14ac:dyDescent="0.3">
      <c r="A111">
        <v>110</v>
      </c>
      <c r="B111" t="s">
        <v>38</v>
      </c>
      <c r="C111" t="s">
        <v>56</v>
      </c>
      <c r="D111" t="s">
        <v>40</v>
      </c>
      <c r="E111" t="s">
        <v>28</v>
      </c>
      <c r="F111" t="s">
        <v>33</v>
      </c>
      <c r="G111" t="s">
        <v>17</v>
      </c>
      <c r="H111" t="s">
        <v>34</v>
      </c>
      <c r="I111">
        <v>196.88</v>
      </c>
      <c r="J111">
        <v>3.1</v>
      </c>
      <c r="K111">
        <v>3.6</v>
      </c>
      <c r="L111" t="s">
        <v>48</v>
      </c>
    </row>
    <row r="112" spans="1:12" x14ac:dyDescent="0.3">
      <c r="A112">
        <v>111</v>
      </c>
      <c r="B112" t="s">
        <v>30</v>
      </c>
      <c r="C112" t="s">
        <v>63</v>
      </c>
      <c r="D112" t="s">
        <v>14</v>
      </c>
      <c r="E112" t="s">
        <v>44</v>
      </c>
      <c r="F112" t="s">
        <v>23</v>
      </c>
      <c r="G112" t="s">
        <v>29</v>
      </c>
      <c r="H112" t="s">
        <v>18</v>
      </c>
      <c r="I112">
        <v>574.38</v>
      </c>
      <c r="J112">
        <v>5.4</v>
      </c>
      <c r="K112">
        <v>2.7</v>
      </c>
      <c r="L112" t="s">
        <v>51</v>
      </c>
    </row>
    <row r="113" spans="1:12" x14ac:dyDescent="0.3">
      <c r="A113">
        <v>112</v>
      </c>
      <c r="B113" t="s">
        <v>58</v>
      </c>
      <c r="C113" t="s">
        <v>45</v>
      </c>
      <c r="D113" t="s">
        <v>46</v>
      </c>
      <c r="E113" t="s">
        <v>28</v>
      </c>
      <c r="F113" t="s">
        <v>16</v>
      </c>
      <c r="G113" t="s">
        <v>17</v>
      </c>
      <c r="H113" t="s">
        <v>18</v>
      </c>
      <c r="I113">
        <v>127.55</v>
      </c>
      <c r="J113">
        <v>4.5</v>
      </c>
      <c r="K113">
        <v>4.4000000000000004</v>
      </c>
      <c r="L113" t="s">
        <v>35</v>
      </c>
    </row>
    <row r="114" spans="1:12" x14ac:dyDescent="0.3">
      <c r="A114">
        <v>113</v>
      </c>
      <c r="B114" t="s">
        <v>20</v>
      </c>
      <c r="C114" t="s">
        <v>45</v>
      </c>
      <c r="D114" t="s">
        <v>54</v>
      </c>
      <c r="E114" t="s">
        <v>44</v>
      </c>
      <c r="F114" t="s">
        <v>47</v>
      </c>
      <c r="G114" t="s">
        <v>24</v>
      </c>
      <c r="H114" t="s">
        <v>18</v>
      </c>
      <c r="I114">
        <v>440.14</v>
      </c>
      <c r="J114">
        <v>7.4</v>
      </c>
      <c r="K114">
        <v>4.5999999999999996</v>
      </c>
      <c r="L114" t="s">
        <v>35</v>
      </c>
    </row>
    <row r="115" spans="1:12" x14ac:dyDescent="0.3">
      <c r="A115">
        <v>114</v>
      </c>
      <c r="B115" t="s">
        <v>30</v>
      </c>
      <c r="C115" t="s">
        <v>27</v>
      </c>
      <c r="D115" t="s">
        <v>40</v>
      </c>
      <c r="E115" t="s">
        <v>28</v>
      </c>
      <c r="F115" t="s">
        <v>33</v>
      </c>
      <c r="G115" t="s">
        <v>24</v>
      </c>
      <c r="H115" t="s">
        <v>34</v>
      </c>
      <c r="I115">
        <v>445.18</v>
      </c>
      <c r="J115">
        <v>7.8</v>
      </c>
      <c r="K115">
        <v>4</v>
      </c>
      <c r="L115" t="s">
        <v>35</v>
      </c>
    </row>
    <row r="116" spans="1:12" x14ac:dyDescent="0.3">
      <c r="A116">
        <v>115</v>
      </c>
      <c r="B116" t="s">
        <v>58</v>
      </c>
      <c r="C116" t="s">
        <v>13</v>
      </c>
      <c r="D116" t="s">
        <v>54</v>
      </c>
      <c r="E116" t="s">
        <v>15</v>
      </c>
      <c r="F116" t="s">
        <v>47</v>
      </c>
      <c r="G116" t="s">
        <v>17</v>
      </c>
      <c r="H116" t="s">
        <v>18</v>
      </c>
      <c r="I116">
        <v>398.21</v>
      </c>
      <c r="J116">
        <v>3.3</v>
      </c>
      <c r="K116">
        <v>4.9000000000000004</v>
      </c>
      <c r="L116" t="s">
        <v>19</v>
      </c>
    </row>
    <row r="117" spans="1:12" x14ac:dyDescent="0.3">
      <c r="A117">
        <v>116</v>
      </c>
      <c r="B117" t="s">
        <v>26</v>
      </c>
      <c r="C117" t="s">
        <v>49</v>
      </c>
      <c r="D117" t="s">
        <v>14</v>
      </c>
      <c r="E117" t="s">
        <v>28</v>
      </c>
      <c r="F117" t="s">
        <v>33</v>
      </c>
      <c r="G117" t="s">
        <v>24</v>
      </c>
      <c r="H117" t="s">
        <v>25</v>
      </c>
      <c r="I117">
        <v>379.09</v>
      </c>
      <c r="J117">
        <v>3.4</v>
      </c>
      <c r="K117">
        <v>4.4000000000000004</v>
      </c>
      <c r="L117" t="s">
        <v>19</v>
      </c>
    </row>
    <row r="118" spans="1:12" x14ac:dyDescent="0.3">
      <c r="A118">
        <v>117</v>
      </c>
      <c r="B118" t="s">
        <v>12</v>
      </c>
      <c r="C118" t="s">
        <v>37</v>
      </c>
      <c r="D118" t="s">
        <v>54</v>
      </c>
      <c r="E118" t="s">
        <v>28</v>
      </c>
      <c r="F118" t="s">
        <v>33</v>
      </c>
      <c r="G118" t="s">
        <v>24</v>
      </c>
      <c r="H118" t="s">
        <v>18</v>
      </c>
      <c r="I118">
        <v>511</v>
      </c>
      <c r="J118">
        <v>5.5</v>
      </c>
      <c r="K118">
        <v>3.7</v>
      </c>
      <c r="L118" t="s">
        <v>35</v>
      </c>
    </row>
    <row r="119" spans="1:12" x14ac:dyDescent="0.3">
      <c r="A119">
        <v>118</v>
      </c>
      <c r="B119" t="s">
        <v>38</v>
      </c>
      <c r="C119" t="s">
        <v>56</v>
      </c>
      <c r="D119" t="s">
        <v>21</v>
      </c>
      <c r="E119" t="s">
        <v>61</v>
      </c>
      <c r="F119" t="s">
        <v>33</v>
      </c>
      <c r="G119" t="s">
        <v>17</v>
      </c>
      <c r="H119" t="s">
        <v>18</v>
      </c>
      <c r="I119">
        <v>604.55999999999995</v>
      </c>
      <c r="J119">
        <v>4.5999999999999996</v>
      </c>
      <c r="K119">
        <v>3.9</v>
      </c>
      <c r="L119" t="s">
        <v>19</v>
      </c>
    </row>
    <row r="120" spans="1:12" x14ac:dyDescent="0.3">
      <c r="A120">
        <v>119</v>
      </c>
      <c r="B120" t="s">
        <v>12</v>
      </c>
      <c r="C120" t="s">
        <v>45</v>
      </c>
      <c r="D120" t="s">
        <v>50</v>
      </c>
      <c r="E120" t="s">
        <v>44</v>
      </c>
      <c r="F120" t="s">
        <v>41</v>
      </c>
      <c r="G120" t="s">
        <v>24</v>
      </c>
      <c r="H120" t="s">
        <v>34</v>
      </c>
      <c r="I120">
        <v>508.61</v>
      </c>
      <c r="J120">
        <v>9</v>
      </c>
      <c r="K120">
        <v>4.3</v>
      </c>
      <c r="L120" t="s">
        <v>51</v>
      </c>
    </row>
    <row r="121" spans="1:12" x14ac:dyDescent="0.3">
      <c r="A121">
        <v>120</v>
      </c>
      <c r="B121" t="s">
        <v>62</v>
      </c>
      <c r="C121" t="s">
        <v>42</v>
      </c>
      <c r="D121" t="s">
        <v>57</v>
      </c>
      <c r="E121" t="s">
        <v>28</v>
      </c>
      <c r="F121" t="s">
        <v>47</v>
      </c>
      <c r="G121" t="s">
        <v>24</v>
      </c>
      <c r="H121" t="s">
        <v>25</v>
      </c>
      <c r="I121">
        <v>367.56</v>
      </c>
      <c r="J121">
        <v>8.9</v>
      </c>
      <c r="K121">
        <v>4.9000000000000004</v>
      </c>
      <c r="L121" t="s">
        <v>48</v>
      </c>
    </row>
    <row r="122" spans="1:12" x14ac:dyDescent="0.3">
      <c r="A122">
        <v>121</v>
      </c>
      <c r="B122" t="s">
        <v>30</v>
      </c>
      <c r="C122" t="s">
        <v>27</v>
      </c>
      <c r="D122" t="s">
        <v>46</v>
      </c>
      <c r="E122" t="s">
        <v>44</v>
      </c>
      <c r="F122" t="s">
        <v>16</v>
      </c>
      <c r="G122" t="s">
        <v>24</v>
      </c>
      <c r="H122" t="s">
        <v>18</v>
      </c>
      <c r="I122">
        <v>512.29</v>
      </c>
      <c r="J122">
        <v>6.3</v>
      </c>
      <c r="K122">
        <v>2.8</v>
      </c>
      <c r="L122" t="s">
        <v>48</v>
      </c>
    </row>
    <row r="123" spans="1:12" x14ac:dyDescent="0.3">
      <c r="A123">
        <v>122</v>
      </c>
      <c r="B123" t="s">
        <v>36</v>
      </c>
      <c r="C123" t="s">
        <v>63</v>
      </c>
      <c r="D123" t="s">
        <v>39</v>
      </c>
      <c r="E123" t="s">
        <v>22</v>
      </c>
      <c r="F123" t="s">
        <v>33</v>
      </c>
      <c r="G123" t="s">
        <v>29</v>
      </c>
      <c r="H123" t="s">
        <v>18</v>
      </c>
      <c r="I123">
        <v>522.28</v>
      </c>
      <c r="J123">
        <v>8.5</v>
      </c>
      <c r="K123">
        <v>4.2</v>
      </c>
      <c r="L123" t="s">
        <v>35</v>
      </c>
    </row>
    <row r="124" spans="1:12" x14ac:dyDescent="0.3">
      <c r="A124">
        <v>123</v>
      </c>
      <c r="B124" t="s">
        <v>36</v>
      </c>
      <c r="C124" t="s">
        <v>45</v>
      </c>
      <c r="D124" t="s">
        <v>50</v>
      </c>
      <c r="E124" t="s">
        <v>28</v>
      </c>
      <c r="F124" t="s">
        <v>47</v>
      </c>
      <c r="G124" t="s">
        <v>29</v>
      </c>
      <c r="H124" t="s">
        <v>18</v>
      </c>
      <c r="I124">
        <v>400.19</v>
      </c>
      <c r="J124">
        <v>6.6</v>
      </c>
      <c r="K124">
        <v>2.7</v>
      </c>
      <c r="L124" t="s">
        <v>51</v>
      </c>
    </row>
    <row r="125" spans="1:12" x14ac:dyDescent="0.3">
      <c r="A125">
        <v>124</v>
      </c>
      <c r="B125" t="s">
        <v>58</v>
      </c>
      <c r="C125" t="s">
        <v>37</v>
      </c>
      <c r="D125" t="s">
        <v>39</v>
      </c>
      <c r="E125" t="s">
        <v>44</v>
      </c>
      <c r="F125" t="s">
        <v>33</v>
      </c>
      <c r="G125" t="s">
        <v>29</v>
      </c>
      <c r="H125" t="s">
        <v>34</v>
      </c>
      <c r="I125">
        <v>223.88</v>
      </c>
      <c r="J125">
        <v>4.5999999999999996</v>
      </c>
      <c r="K125">
        <v>3</v>
      </c>
      <c r="L125" t="s">
        <v>51</v>
      </c>
    </row>
    <row r="126" spans="1:12" x14ac:dyDescent="0.3">
      <c r="A126">
        <v>125</v>
      </c>
      <c r="B126" t="s">
        <v>30</v>
      </c>
      <c r="C126" t="s">
        <v>13</v>
      </c>
      <c r="D126" t="s">
        <v>14</v>
      </c>
      <c r="E126" t="s">
        <v>22</v>
      </c>
      <c r="F126" t="s">
        <v>16</v>
      </c>
      <c r="G126" t="s">
        <v>17</v>
      </c>
      <c r="H126" t="s">
        <v>34</v>
      </c>
      <c r="I126">
        <v>281.5</v>
      </c>
      <c r="J126">
        <v>6</v>
      </c>
      <c r="K126">
        <v>4.2</v>
      </c>
      <c r="L126" t="s">
        <v>48</v>
      </c>
    </row>
    <row r="127" spans="1:12" x14ac:dyDescent="0.3">
      <c r="A127">
        <v>126</v>
      </c>
      <c r="B127" t="s">
        <v>62</v>
      </c>
      <c r="C127" t="s">
        <v>42</v>
      </c>
      <c r="D127" t="s">
        <v>39</v>
      </c>
      <c r="E127" t="s">
        <v>15</v>
      </c>
      <c r="F127" t="s">
        <v>47</v>
      </c>
      <c r="G127" t="s">
        <v>24</v>
      </c>
      <c r="H127" t="s">
        <v>34</v>
      </c>
      <c r="I127">
        <v>188.42</v>
      </c>
      <c r="J127">
        <v>5.4</v>
      </c>
      <c r="K127">
        <v>4.4000000000000004</v>
      </c>
      <c r="L127" t="s">
        <v>48</v>
      </c>
    </row>
    <row r="128" spans="1:12" x14ac:dyDescent="0.3">
      <c r="A128">
        <v>127</v>
      </c>
      <c r="B128" t="s">
        <v>12</v>
      </c>
      <c r="C128" t="s">
        <v>13</v>
      </c>
      <c r="D128" t="s">
        <v>54</v>
      </c>
      <c r="E128" t="s">
        <v>22</v>
      </c>
      <c r="F128" t="s">
        <v>23</v>
      </c>
      <c r="G128" t="s">
        <v>29</v>
      </c>
      <c r="H128" t="s">
        <v>34</v>
      </c>
      <c r="I128">
        <v>542.58000000000004</v>
      </c>
      <c r="J128">
        <v>9.4</v>
      </c>
      <c r="K128">
        <v>3.7</v>
      </c>
      <c r="L128" t="s">
        <v>19</v>
      </c>
    </row>
    <row r="129" spans="1:12" x14ac:dyDescent="0.3">
      <c r="A129">
        <v>128</v>
      </c>
      <c r="B129" t="s">
        <v>30</v>
      </c>
      <c r="C129" t="s">
        <v>37</v>
      </c>
      <c r="D129" t="s">
        <v>39</v>
      </c>
      <c r="E129" t="s">
        <v>22</v>
      </c>
      <c r="F129" t="s">
        <v>47</v>
      </c>
      <c r="G129" t="s">
        <v>17</v>
      </c>
      <c r="H129" t="s">
        <v>25</v>
      </c>
      <c r="I129">
        <v>458.83</v>
      </c>
      <c r="J129">
        <v>1.4</v>
      </c>
      <c r="K129">
        <v>4.2</v>
      </c>
      <c r="L129" t="s">
        <v>35</v>
      </c>
    </row>
    <row r="130" spans="1:12" x14ac:dyDescent="0.3">
      <c r="A130">
        <v>129</v>
      </c>
      <c r="B130" t="s">
        <v>26</v>
      </c>
      <c r="C130" t="s">
        <v>59</v>
      </c>
      <c r="D130" t="s">
        <v>54</v>
      </c>
      <c r="E130" t="s">
        <v>32</v>
      </c>
      <c r="F130" t="s">
        <v>41</v>
      </c>
      <c r="G130" t="s">
        <v>17</v>
      </c>
      <c r="H130" t="s">
        <v>18</v>
      </c>
      <c r="I130">
        <v>463.22</v>
      </c>
      <c r="J130">
        <v>1.9</v>
      </c>
      <c r="K130">
        <v>3.9</v>
      </c>
      <c r="L130" t="s">
        <v>51</v>
      </c>
    </row>
    <row r="131" spans="1:12" x14ac:dyDescent="0.3">
      <c r="A131">
        <v>130</v>
      </c>
      <c r="B131" t="s">
        <v>36</v>
      </c>
      <c r="C131" t="s">
        <v>63</v>
      </c>
      <c r="D131" t="s">
        <v>46</v>
      </c>
      <c r="E131" t="s">
        <v>15</v>
      </c>
      <c r="F131" t="s">
        <v>47</v>
      </c>
      <c r="G131" t="s">
        <v>24</v>
      </c>
      <c r="H131" t="s">
        <v>18</v>
      </c>
      <c r="I131">
        <v>295.41000000000003</v>
      </c>
      <c r="J131">
        <v>7.6</v>
      </c>
      <c r="K131">
        <v>3.8</v>
      </c>
      <c r="L131" t="s">
        <v>48</v>
      </c>
    </row>
    <row r="132" spans="1:12" x14ac:dyDescent="0.3">
      <c r="A132">
        <v>131</v>
      </c>
      <c r="B132" t="s">
        <v>52</v>
      </c>
      <c r="C132" t="s">
        <v>27</v>
      </c>
      <c r="D132" t="s">
        <v>21</v>
      </c>
      <c r="E132" t="s">
        <v>44</v>
      </c>
      <c r="F132" t="s">
        <v>41</v>
      </c>
      <c r="G132" t="s">
        <v>29</v>
      </c>
      <c r="H132" t="s">
        <v>34</v>
      </c>
      <c r="I132">
        <v>377.9</v>
      </c>
      <c r="J132">
        <v>4.0999999999999996</v>
      </c>
      <c r="K132">
        <v>4.5999999999999996</v>
      </c>
      <c r="L132" t="s">
        <v>35</v>
      </c>
    </row>
    <row r="133" spans="1:12" x14ac:dyDescent="0.3">
      <c r="A133">
        <v>132</v>
      </c>
      <c r="B133" t="s">
        <v>38</v>
      </c>
      <c r="C133" t="s">
        <v>37</v>
      </c>
      <c r="D133" t="s">
        <v>31</v>
      </c>
      <c r="E133" t="s">
        <v>28</v>
      </c>
      <c r="F133" t="s">
        <v>23</v>
      </c>
      <c r="G133" t="s">
        <v>29</v>
      </c>
      <c r="H133" t="s">
        <v>25</v>
      </c>
      <c r="I133">
        <v>381.1</v>
      </c>
      <c r="J133">
        <v>6.6</v>
      </c>
      <c r="K133">
        <v>4.9000000000000004</v>
      </c>
      <c r="L133" t="s">
        <v>35</v>
      </c>
    </row>
    <row r="134" spans="1:12" x14ac:dyDescent="0.3">
      <c r="A134">
        <v>133</v>
      </c>
      <c r="B134" t="s">
        <v>60</v>
      </c>
      <c r="C134" t="s">
        <v>42</v>
      </c>
      <c r="D134" t="s">
        <v>54</v>
      </c>
      <c r="E134" t="s">
        <v>61</v>
      </c>
      <c r="F134" t="s">
        <v>33</v>
      </c>
      <c r="G134" t="s">
        <v>24</v>
      </c>
      <c r="H134" t="s">
        <v>18</v>
      </c>
      <c r="I134">
        <v>585.44000000000005</v>
      </c>
      <c r="J134">
        <v>2</v>
      </c>
      <c r="K134">
        <v>3.1</v>
      </c>
      <c r="L134" t="s">
        <v>19</v>
      </c>
    </row>
    <row r="135" spans="1:12" x14ac:dyDescent="0.3">
      <c r="A135">
        <v>134</v>
      </c>
      <c r="B135" t="s">
        <v>30</v>
      </c>
      <c r="C135" t="s">
        <v>63</v>
      </c>
      <c r="D135" t="s">
        <v>39</v>
      </c>
      <c r="E135" t="s">
        <v>44</v>
      </c>
      <c r="F135" t="s">
        <v>33</v>
      </c>
      <c r="G135" t="s">
        <v>29</v>
      </c>
      <c r="H135" t="s">
        <v>18</v>
      </c>
      <c r="I135">
        <v>291.94</v>
      </c>
      <c r="J135">
        <v>10</v>
      </c>
      <c r="K135">
        <v>2.7</v>
      </c>
      <c r="L135" t="s">
        <v>35</v>
      </c>
    </row>
    <row r="136" spans="1:12" x14ac:dyDescent="0.3">
      <c r="A136">
        <v>135</v>
      </c>
      <c r="B136" t="s">
        <v>20</v>
      </c>
      <c r="C136" t="s">
        <v>45</v>
      </c>
      <c r="D136" t="s">
        <v>54</v>
      </c>
      <c r="E136" t="s">
        <v>22</v>
      </c>
      <c r="F136" t="s">
        <v>23</v>
      </c>
      <c r="G136" t="s">
        <v>29</v>
      </c>
      <c r="H136" t="s">
        <v>25</v>
      </c>
      <c r="I136">
        <v>765.47</v>
      </c>
      <c r="J136">
        <v>5.3</v>
      </c>
      <c r="K136">
        <v>3.6</v>
      </c>
      <c r="L136" t="s">
        <v>19</v>
      </c>
    </row>
    <row r="137" spans="1:12" x14ac:dyDescent="0.3">
      <c r="A137">
        <v>136</v>
      </c>
      <c r="B137" t="s">
        <v>38</v>
      </c>
      <c r="C137" t="s">
        <v>37</v>
      </c>
      <c r="D137" t="s">
        <v>14</v>
      </c>
      <c r="E137" t="s">
        <v>61</v>
      </c>
      <c r="F137" t="s">
        <v>23</v>
      </c>
      <c r="G137" t="s">
        <v>17</v>
      </c>
      <c r="H137" t="s">
        <v>34</v>
      </c>
      <c r="I137">
        <v>730.82</v>
      </c>
      <c r="J137">
        <v>2.7</v>
      </c>
      <c r="K137">
        <v>4.0999999999999996</v>
      </c>
      <c r="L137" t="s">
        <v>35</v>
      </c>
    </row>
    <row r="138" spans="1:12" x14ac:dyDescent="0.3">
      <c r="A138">
        <v>137</v>
      </c>
      <c r="B138" t="s">
        <v>60</v>
      </c>
      <c r="C138" t="s">
        <v>63</v>
      </c>
      <c r="D138" t="s">
        <v>39</v>
      </c>
      <c r="E138" t="s">
        <v>28</v>
      </c>
      <c r="F138" t="s">
        <v>23</v>
      </c>
      <c r="G138" t="s">
        <v>17</v>
      </c>
      <c r="H138" t="s">
        <v>18</v>
      </c>
      <c r="I138">
        <v>690.75</v>
      </c>
      <c r="J138">
        <v>9.5</v>
      </c>
      <c r="K138">
        <v>4.0999999999999996</v>
      </c>
      <c r="L138" t="s">
        <v>35</v>
      </c>
    </row>
    <row r="139" spans="1:12" x14ac:dyDescent="0.3">
      <c r="A139">
        <v>138</v>
      </c>
      <c r="B139" t="s">
        <v>62</v>
      </c>
      <c r="C139" t="s">
        <v>45</v>
      </c>
      <c r="D139" t="s">
        <v>54</v>
      </c>
      <c r="E139" t="s">
        <v>15</v>
      </c>
      <c r="F139" t="s">
        <v>23</v>
      </c>
      <c r="G139" t="s">
        <v>29</v>
      </c>
      <c r="H139" t="s">
        <v>34</v>
      </c>
      <c r="I139">
        <v>313.17</v>
      </c>
      <c r="J139">
        <v>9.3000000000000007</v>
      </c>
      <c r="K139">
        <v>3.5</v>
      </c>
      <c r="L139" t="s">
        <v>51</v>
      </c>
    </row>
    <row r="140" spans="1:12" x14ac:dyDescent="0.3">
      <c r="A140">
        <v>139</v>
      </c>
      <c r="B140" t="s">
        <v>60</v>
      </c>
      <c r="C140" t="s">
        <v>59</v>
      </c>
      <c r="D140" t="s">
        <v>14</v>
      </c>
      <c r="E140" t="s">
        <v>61</v>
      </c>
      <c r="F140" t="s">
        <v>23</v>
      </c>
      <c r="G140" t="s">
        <v>17</v>
      </c>
      <c r="H140" t="s">
        <v>18</v>
      </c>
      <c r="I140">
        <v>624.26</v>
      </c>
      <c r="J140">
        <v>5.5</v>
      </c>
      <c r="K140">
        <v>2.9</v>
      </c>
      <c r="L140" t="s">
        <v>19</v>
      </c>
    </row>
    <row r="141" spans="1:12" x14ac:dyDescent="0.3">
      <c r="A141">
        <v>140</v>
      </c>
      <c r="B141" t="s">
        <v>58</v>
      </c>
      <c r="C141" t="s">
        <v>42</v>
      </c>
      <c r="D141" t="s">
        <v>46</v>
      </c>
      <c r="E141" t="s">
        <v>61</v>
      </c>
      <c r="F141" t="s">
        <v>23</v>
      </c>
      <c r="G141" t="s">
        <v>29</v>
      </c>
      <c r="H141" t="s">
        <v>18</v>
      </c>
      <c r="I141">
        <v>646.41</v>
      </c>
      <c r="J141">
        <v>9.1999999999999993</v>
      </c>
      <c r="K141">
        <v>4.5999999999999996</v>
      </c>
      <c r="L141" t="s">
        <v>35</v>
      </c>
    </row>
    <row r="142" spans="1:12" x14ac:dyDescent="0.3">
      <c r="A142">
        <v>141</v>
      </c>
      <c r="B142" t="s">
        <v>26</v>
      </c>
      <c r="C142" t="s">
        <v>13</v>
      </c>
      <c r="D142" t="s">
        <v>57</v>
      </c>
      <c r="E142" t="s">
        <v>55</v>
      </c>
      <c r="F142" t="s">
        <v>33</v>
      </c>
      <c r="G142" t="s">
        <v>24</v>
      </c>
      <c r="H142" t="s">
        <v>18</v>
      </c>
      <c r="I142">
        <v>91.32</v>
      </c>
      <c r="J142">
        <v>5.2</v>
      </c>
      <c r="K142">
        <v>4.8</v>
      </c>
      <c r="L142" t="s">
        <v>19</v>
      </c>
    </row>
    <row r="143" spans="1:12" x14ac:dyDescent="0.3">
      <c r="A143">
        <v>142</v>
      </c>
      <c r="B143" t="s">
        <v>12</v>
      </c>
      <c r="C143" t="s">
        <v>45</v>
      </c>
      <c r="D143" t="s">
        <v>14</v>
      </c>
      <c r="E143" t="s">
        <v>28</v>
      </c>
      <c r="F143" t="s">
        <v>41</v>
      </c>
      <c r="G143" t="s">
        <v>29</v>
      </c>
      <c r="H143" t="s">
        <v>25</v>
      </c>
      <c r="I143">
        <v>214.48</v>
      </c>
      <c r="J143">
        <v>3.6</v>
      </c>
      <c r="K143">
        <v>3.9</v>
      </c>
      <c r="L143" t="s">
        <v>48</v>
      </c>
    </row>
    <row r="144" spans="1:12" x14ac:dyDescent="0.3">
      <c r="A144">
        <v>143</v>
      </c>
      <c r="B144" t="s">
        <v>38</v>
      </c>
      <c r="C144" t="s">
        <v>42</v>
      </c>
      <c r="D144" t="s">
        <v>57</v>
      </c>
      <c r="E144" t="s">
        <v>22</v>
      </c>
      <c r="F144" t="s">
        <v>16</v>
      </c>
      <c r="G144" t="s">
        <v>29</v>
      </c>
      <c r="H144" t="s">
        <v>18</v>
      </c>
      <c r="I144">
        <v>644.97</v>
      </c>
      <c r="J144">
        <v>5.7</v>
      </c>
      <c r="K144">
        <v>2.7</v>
      </c>
      <c r="L144" t="s">
        <v>19</v>
      </c>
    </row>
    <row r="145" spans="1:12" x14ac:dyDescent="0.3">
      <c r="A145">
        <v>144</v>
      </c>
      <c r="B145" t="s">
        <v>60</v>
      </c>
      <c r="C145" t="s">
        <v>27</v>
      </c>
      <c r="D145" t="s">
        <v>54</v>
      </c>
      <c r="E145" t="s">
        <v>44</v>
      </c>
      <c r="F145" t="s">
        <v>23</v>
      </c>
      <c r="G145" t="s">
        <v>24</v>
      </c>
      <c r="H145" t="s">
        <v>25</v>
      </c>
      <c r="I145">
        <v>637.55999999999995</v>
      </c>
      <c r="J145">
        <v>5.4</v>
      </c>
      <c r="K145">
        <v>4.5</v>
      </c>
      <c r="L145" t="s">
        <v>35</v>
      </c>
    </row>
    <row r="146" spans="1:12" x14ac:dyDescent="0.3">
      <c r="A146">
        <v>145</v>
      </c>
      <c r="B146" t="s">
        <v>26</v>
      </c>
      <c r="C146" t="s">
        <v>45</v>
      </c>
      <c r="D146" t="s">
        <v>21</v>
      </c>
      <c r="E146" t="s">
        <v>44</v>
      </c>
      <c r="F146" t="s">
        <v>41</v>
      </c>
      <c r="G146" t="s">
        <v>29</v>
      </c>
      <c r="H146" t="s">
        <v>34</v>
      </c>
      <c r="I146">
        <v>512.48</v>
      </c>
      <c r="J146">
        <v>1.8</v>
      </c>
      <c r="K146">
        <v>3.7</v>
      </c>
      <c r="L146" t="s">
        <v>35</v>
      </c>
    </row>
    <row r="147" spans="1:12" x14ac:dyDescent="0.3">
      <c r="A147">
        <v>146</v>
      </c>
      <c r="B147" t="s">
        <v>36</v>
      </c>
      <c r="C147" t="s">
        <v>27</v>
      </c>
      <c r="D147" t="s">
        <v>50</v>
      </c>
      <c r="E147" t="s">
        <v>61</v>
      </c>
      <c r="F147" t="s">
        <v>41</v>
      </c>
      <c r="G147" t="s">
        <v>17</v>
      </c>
      <c r="H147" t="s">
        <v>34</v>
      </c>
      <c r="I147">
        <v>614.05999999999995</v>
      </c>
      <c r="J147">
        <v>2.9</v>
      </c>
      <c r="K147">
        <v>4.5</v>
      </c>
      <c r="L147" t="s">
        <v>51</v>
      </c>
    </row>
    <row r="148" spans="1:12" x14ac:dyDescent="0.3">
      <c r="A148">
        <v>147</v>
      </c>
      <c r="B148" t="s">
        <v>26</v>
      </c>
      <c r="C148" t="s">
        <v>56</v>
      </c>
      <c r="D148" t="s">
        <v>40</v>
      </c>
      <c r="E148" t="s">
        <v>15</v>
      </c>
      <c r="F148" t="s">
        <v>33</v>
      </c>
      <c r="G148" t="s">
        <v>29</v>
      </c>
      <c r="H148" t="s">
        <v>25</v>
      </c>
      <c r="I148">
        <v>329.7</v>
      </c>
      <c r="J148">
        <v>3</v>
      </c>
      <c r="K148">
        <v>4.4000000000000004</v>
      </c>
      <c r="L148" t="s">
        <v>35</v>
      </c>
    </row>
    <row r="149" spans="1:12" x14ac:dyDescent="0.3">
      <c r="A149">
        <v>148</v>
      </c>
      <c r="B149" t="s">
        <v>38</v>
      </c>
      <c r="C149" t="s">
        <v>56</v>
      </c>
      <c r="D149" t="s">
        <v>40</v>
      </c>
      <c r="E149" t="s">
        <v>22</v>
      </c>
      <c r="F149" t="s">
        <v>41</v>
      </c>
      <c r="G149" t="s">
        <v>29</v>
      </c>
      <c r="H149" t="s">
        <v>34</v>
      </c>
      <c r="I149">
        <v>411.84</v>
      </c>
      <c r="J149">
        <v>9.6999999999999993</v>
      </c>
      <c r="K149">
        <v>4.7</v>
      </c>
      <c r="L149" t="s">
        <v>35</v>
      </c>
    </row>
    <row r="150" spans="1:12" x14ac:dyDescent="0.3">
      <c r="A150">
        <v>149</v>
      </c>
      <c r="B150" t="s">
        <v>58</v>
      </c>
      <c r="C150" t="s">
        <v>49</v>
      </c>
      <c r="D150" t="s">
        <v>39</v>
      </c>
      <c r="E150" t="s">
        <v>55</v>
      </c>
      <c r="F150" t="s">
        <v>33</v>
      </c>
      <c r="G150" t="s">
        <v>29</v>
      </c>
      <c r="H150" t="s">
        <v>18</v>
      </c>
      <c r="I150">
        <v>407.11</v>
      </c>
      <c r="J150">
        <v>3.5</v>
      </c>
      <c r="K150">
        <v>3</v>
      </c>
      <c r="L150" t="s">
        <v>48</v>
      </c>
    </row>
    <row r="151" spans="1:12" x14ac:dyDescent="0.3">
      <c r="A151">
        <v>150</v>
      </c>
      <c r="B151" t="s">
        <v>20</v>
      </c>
      <c r="C151" t="s">
        <v>13</v>
      </c>
      <c r="D151" t="s">
        <v>21</v>
      </c>
      <c r="E151" t="s">
        <v>61</v>
      </c>
      <c r="F151" t="s">
        <v>47</v>
      </c>
      <c r="G151" t="s">
        <v>24</v>
      </c>
      <c r="H151" t="s">
        <v>34</v>
      </c>
      <c r="I151">
        <v>256.39</v>
      </c>
      <c r="J151">
        <v>7.3</v>
      </c>
      <c r="K151">
        <v>3.6</v>
      </c>
      <c r="L15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 &amp; Avg Rating</vt:lpstr>
      <vt:lpstr>Sales per gender</vt:lpstr>
      <vt:lpstr>Popular color</vt:lpstr>
      <vt:lpstr>Sales Volume &amp; Avg </vt:lpstr>
      <vt:lpstr>Relation btw price &amp; popular </vt:lpstr>
      <vt:lpstr>Preference Style</vt:lpstr>
      <vt:lpstr>Winter_Fashion_Trends_Dataset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Jatin Kheral</dc:creator>
  <cp:lastModifiedBy>Jatin Kheral</cp:lastModifiedBy>
  <dcterms:created xsi:type="dcterms:W3CDTF">2025-11-19T13:02:52Z</dcterms:created>
  <dcterms:modified xsi:type="dcterms:W3CDTF">2025-11-20T09:37:39Z</dcterms:modified>
</cp:coreProperties>
</file>